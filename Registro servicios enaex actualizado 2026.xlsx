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JULIO" sheetId="7" r:id="rId11"/>
    <sheet state="visible" name="AGOSTO" sheetId="8" r:id="rId12"/>
  </sheets>
  <definedNames/>
  <calcPr/>
</workbook>
</file>

<file path=xl/sharedStrings.xml><?xml version="1.0" encoding="utf-8"?>
<sst xmlns="http://schemas.openxmlformats.org/spreadsheetml/2006/main" count="773" uniqueCount="74">
  <si>
    <t xml:space="preserve">  </t>
  </si>
  <si>
    <t>Fecha</t>
  </si>
  <si>
    <t>Tipo Servicio</t>
  </si>
  <si>
    <t>Tipo de Residuos</t>
  </si>
  <si>
    <t>Peso Total (kg) Ticket Enaex</t>
  </si>
  <si>
    <t>Cartón (kg)</t>
  </si>
  <si>
    <t>Papel (kg)</t>
  </si>
  <si>
    <t>Botellas Plásticas (kg)</t>
  </si>
  <si>
    <t>Film (kg)</t>
  </si>
  <si>
    <t>Latas de Aluminio (kg)</t>
  </si>
  <si>
    <t>suncho</t>
  </si>
  <si>
    <t>peso de los tambores (kg)</t>
  </si>
  <si>
    <t>Tambores</t>
  </si>
  <si>
    <t>Peso Palets (kg)</t>
  </si>
  <si>
    <t>Cantidad Palets</t>
  </si>
  <si>
    <t>Peso Carretes Madera (kg)</t>
  </si>
  <si>
    <t>N° FOLIO</t>
  </si>
  <si>
    <t>Cantidad Carretes Madera</t>
  </si>
  <si>
    <t>Peso Carretes Plásticos (kg)</t>
  </si>
  <si>
    <t>Cantidad Carretes Plásticos</t>
  </si>
  <si>
    <t>PESO CARRETE DE PLASTICO APD</t>
  </si>
  <si>
    <t>CARRETE BDE PLASTICO APD</t>
  </si>
  <si>
    <t>Peso bidones 20 litros (kg)</t>
  </si>
  <si>
    <t>bidones 20 litros</t>
  </si>
  <si>
    <t>Peso bidones de 25 litro (kg)</t>
  </si>
  <si>
    <t>bidones 25 litro</t>
  </si>
  <si>
    <t>peso METALICO 20 (kg)</t>
  </si>
  <si>
    <t>METALICO</t>
  </si>
  <si>
    <t>peso tambores de 50 litros (kg)</t>
  </si>
  <si>
    <t>tambores 50 litros</t>
  </si>
  <si>
    <t>chatarra</t>
  </si>
  <si>
    <t>Cantidad Palets Buenos</t>
  </si>
  <si>
    <t>Peso Palets en mal estado (kg)</t>
  </si>
  <si>
    <t>Cantidad Palets en mal estado</t>
  </si>
  <si>
    <t>peso TAMBOR METALICO 20 (kg)</t>
  </si>
  <si>
    <t>TAMBOR METALICO</t>
  </si>
  <si>
    <t>Vidrio</t>
  </si>
  <si>
    <t>PESO PALLET PLÁSTICO</t>
  </si>
  <si>
    <t xml:space="preserve">PALET PLÁSTICO </t>
  </si>
  <si>
    <t>bod, Apd, Ácido,puntos verdes y HSEC</t>
  </si>
  <si>
    <t>reciclaje</t>
  </si>
  <si>
    <t>AREAS PRODUCTIVAS</t>
  </si>
  <si>
    <t>mas una impresor</t>
  </si>
  <si>
    <t>251,5</t>
  </si>
  <si>
    <t xml:space="preserve">                                                                                                            </t>
  </si>
  <si>
    <t>00001</t>
  </si>
  <si>
    <t>00003</t>
  </si>
  <si>
    <t>00004</t>
  </si>
  <si>
    <t>00007</t>
  </si>
  <si>
    <t>00006</t>
  </si>
  <si>
    <t>00009</t>
  </si>
  <si>
    <t>00011</t>
  </si>
  <si>
    <t>00012</t>
  </si>
  <si>
    <t>00014</t>
  </si>
  <si>
    <t>00015</t>
  </si>
  <si>
    <t>TOTAL</t>
  </si>
  <si>
    <t>Recepción de Ramplas</t>
  </si>
  <si>
    <t>plastico</t>
  </si>
  <si>
    <t>carton</t>
  </si>
  <si>
    <t>latas</t>
  </si>
  <si>
    <t>Retiro de electrónico</t>
  </si>
  <si>
    <t>Tipo de residuo</t>
  </si>
  <si>
    <t>Cantidad en Kg.</t>
  </si>
  <si>
    <t>Cantidad en Un.</t>
  </si>
  <si>
    <t>unidades</t>
  </si>
  <si>
    <t>kilos palets</t>
  </si>
  <si>
    <t>Palet</t>
  </si>
  <si>
    <t xml:space="preserve">suma carretes </t>
  </si>
  <si>
    <t xml:space="preserve">suma pesaje </t>
  </si>
  <si>
    <t>eléctrico</t>
  </si>
  <si>
    <t xml:space="preserve"> </t>
  </si>
  <si>
    <t>2 pilas´¿</t>
  </si>
  <si>
    <t>327,5</t>
  </si>
  <si>
    <t>2 electrónicos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</si>
</sst>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7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/>
    <font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0" fillId="0" fontId="1" numFmtId="0" xfId="0" applyAlignment="1" applyFont="1">
      <alignment horizontal="center" vertical="bottom"/>
    </xf>
    <xf borderId="1" fillId="2" fontId="3" numFmtId="0" xfId="0" applyAlignment="1" applyBorder="1" applyFill="1" applyFont="1">
      <alignment horizontal="center" readingOrder="0" vertical="bottom"/>
    </xf>
    <xf borderId="1" fillId="2" fontId="1" numFmtId="164" xfId="0" applyAlignment="1" applyBorder="1" applyFill="1" applyFont="1" applyNumberFormat="1">
      <alignment horizontal="center" readingOrder="0" vertical="bottom"/>
    </xf>
    <xf borderId="1" fillId="2" fontId="2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right" vertical="bottom"/>
    </xf>
    <xf borderId="1" fillId="2" fontId="3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 readingOrder="0" vertical="bottom"/>
    </xf>
    <xf borderId="0" fillId="2" fontId="1" numFmtId="0" xfId="0" applyAlignment="1" applyFill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49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164" xfId="0" applyAlignment="1" applyBorder="1" applyFont="1" applyNumberFormat="1">
      <alignment vertical="bottom"/>
    </xf>
    <xf borderId="2" fillId="0" fontId="1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1" numFmtId="1" xfId="0" applyAlignment="1" applyBorder="1" applyFont="1" applyNumberFormat="1">
      <alignment horizontal="center" vertical="bottom"/>
    </xf>
    <xf borderId="1" fillId="0" fontId="1" numFmtId="2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0" fillId="0" fontId="1" numFmtId="1" xfId="0" applyAlignment="1" applyFont="1" applyNumberForma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165" xfId="0" applyAlignment="1" applyFont="1" applyNumberFormat="1">
      <alignment horizontal="center" vertical="bottom"/>
    </xf>
    <xf borderId="0" fillId="0" fontId="1" numFmtId="0" xfId="0" applyAlignment="1" applyFont="1">
      <alignment readingOrder="0" vertical="bottom"/>
    </xf>
    <xf borderId="1" fillId="3" fontId="3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readingOrder="0" vertical="bottom"/>
    </xf>
    <xf borderId="1" fillId="3" fontId="1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readingOrder="0" vertical="bottom"/>
    </xf>
    <xf borderId="1" fillId="3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horizontal="center" readingOrder="0" vertical="bottom"/>
    </xf>
    <xf borderId="1" fillId="4" fontId="1" numFmtId="164" xfId="0" applyAlignment="1" applyBorder="1" applyFill="1" applyFont="1" applyNumberFormat="1">
      <alignment horizontal="center" readingOrder="0" vertical="bottom"/>
    </xf>
    <xf borderId="1" fillId="3" fontId="1" numFmtId="164" xfId="0" applyAlignment="1" applyBorder="1" applyFill="1" applyFont="1" applyNumberFormat="1">
      <alignment horizontal="center" readingOrder="0" vertical="bottom"/>
    </xf>
    <xf borderId="1" fillId="3" fontId="5" numFmtId="164" xfId="0" applyAlignment="1" applyBorder="1" applyFill="1" applyFont="1" applyNumberFormat="1">
      <alignment horizontal="center" readingOrder="0" vertical="bottom"/>
    </xf>
    <xf borderId="1" fillId="0" fontId="1" numFmtId="3" xfId="0" applyAlignment="1" applyBorder="1" applyFont="1" applyNumberFormat="1">
      <alignment horizontal="center" readingOrder="0" vertical="bottom"/>
    </xf>
    <xf borderId="1" fillId="0" fontId="1" numFmtId="4" xfId="0" applyAlignment="1" applyBorder="1" applyFont="1" applyNumberFormat="1">
      <alignment horizontal="center" vertical="bottom"/>
    </xf>
    <xf borderId="1" fillId="0" fontId="1" numFmtId="4" xfId="0" applyAlignment="1" applyBorder="1" applyFont="1" applyNumberFormat="1">
      <alignment horizontal="center" readingOrder="0" vertical="bottom"/>
    </xf>
    <xf borderId="0" fillId="0" fontId="6" numFmtId="0" xfId="0" applyAlignment="1" applyFont="1">
      <alignment readingOrder="0"/>
    </xf>
    <xf borderId="1" fillId="0" fontId="3" numFmtId="4" xfId="0" applyAlignment="1" applyBorder="1" applyFont="1" applyNumberFormat="1">
      <alignment horizontal="center" readingOrder="0" vertical="bottom"/>
    </xf>
    <xf borderId="1" fillId="0" fontId="1" numFmtId="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3"/>
      <c r="AE1" s="3"/>
      <c r="AF1" s="3"/>
      <c r="AG1" s="3"/>
    </row>
    <row r="2">
      <c r="A2" s="4">
        <v>70.0</v>
      </c>
      <c r="B2" s="5">
        <v>46024.0</v>
      </c>
      <c r="C2" s="6" t="s">
        <v>39</v>
      </c>
      <c r="D2" s="7" t="s">
        <v>40</v>
      </c>
      <c r="E2" s="4">
        <v>390.0</v>
      </c>
      <c r="F2" s="11">
        <f>E2-G2-H2-I2-J2-K2</f>
        <v>375.5</v>
      </c>
      <c r="G2" s="9">
        <v>6.5</v>
      </c>
      <c r="H2" s="9">
        <v>1.5</v>
      </c>
      <c r="I2" s="9">
        <v>6.0</v>
      </c>
      <c r="J2" s="9">
        <v>0.5</v>
      </c>
      <c r="K2" s="10"/>
      <c r="L2" s="7">
        <f t="shared" ref="L2:L21" si="1">M2*10</f>
        <v>0</v>
      </c>
      <c r="M2" s="10"/>
      <c r="N2" s="7">
        <f t="shared" ref="N2:N23" si="2">O2*20</f>
        <v>0</v>
      </c>
      <c r="O2" s="7"/>
      <c r="P2" s="7">
        <f t="shared" ref="P2:P23" si="3">Q2*5.5</f>
        <v>0</v>
      </c>
      <c r="Q2" s="7"/>
      <c r="R2" s="7">
        <f t="shared" ref="R2:R23" si="4">S2*2.5</f>
        <v>0</v>
      </c>
      <c r="S2" s="10"/>
      <c r="T2" s="7">
        <f t="shared" ref="T2:T23" si="5">U2*0.5</f>
        <v>0</v>
      </c>
      <c r="U2" s="7"/>
      <c r="V2" s="7">
        <f t="shared" ref="V2:V23" si="6">W2*1.4</f>
        <v>0</v>
      </c>
      <c r="W2" s="10"/>
      <c r="X2" s="7">
        <f t="shared" ref="X2:X23" si="7">Y2*1.2</f>
        <v>0</v>
      </c>
      <c r="Y2" s="10"/>
      <c r="Z2" s="7">
        <f>AA2*16</f>
        <v>0</v>
      </c>
      <c r="AA2" s="7">
        <v>0.0</v>
      </c>
      <c r="AB2" s="7">
        <f t="shared" ref="AB2:AB23" si="8">AC2*2.275</f>
        <v>0</v>
      </c>
      <c r="AC2" s="10"/>
      <c r="AD2" s="13" t="s">
        <v>42</v>
      </c>
      <c r="AE2" s="3"/>
      <c r="AF2" s="3"/>
      <c r="AG2" s="3"/>
    </row>
    <row r="3">
      <c r="A3" s="4">
        <v>72.0</v>
      </c>
      <c r="B3" s="5">
        <v>46028.0</v>
      </c>
      <c r="C3" s="6" t="s">
        <v>41</v>
      </c>
      <c r="D3" s="7" t="s">
        <v>40</v>
      </c>
      <c r="E3" s="4">
        <v>1150.0</v>
      </c>
      <c r="F3" s="11"/>
      <c r="G3" s="7"/>
      <c r="H3" s="7"/>
      <c r="I3" s="7"/>
      <c r="J3" s="7"/>
      <c r="K3" s="10"/>
      <c r="L3" s="7">
        <f t="shared" si="1"/>
        <v>0</v>
      </c>
      <c r="M3" s="10"/>
      <c r="N3" s="7">
        <f t="shared" si="2"/>
        <v>500</v>
      </c>
      <c r="O3" s="9">
        <v>25.0</v>
      </c>
      <c r="P3" s="7">
        <f t="shared" si="3"/>
        <v>110</v>
      </c>
      <c r="Q3" s="12">
        <v>20.0</v>
      </c>
      <c r="R3" s="7">
        <f t="shared" si="4"/>
        <v>65</v>
      </c>
      <c r="S3" s="12">
        <v>26.0</v>
      </c>
      <c r="T3" s="7">
        <f t="shared" si="5"/>
        <v>88.5</v>
      </c>
      <c r="U3" s="12">
        <v>177.0</v>
      </c>
      <c r="V3" s="7">
        <f t="shared" si="6"/>
        <v>0</v>
      </c>
      <c r="W3" s="10"/>
      <c r="X3" s="7">
        <f t="shared" si="7"/>
        <v>0</v>
      </c>
      <c r="Y3" s="10"/>
      <c r="Z3" s="7">
        <v>0.0</v>
      </c>
      <c r="AA3" s="10"/>
      <c r="AB3" s="7">
        <f t="shared" si="8"/>
        <v>0</v>
      </c>
      <c r="AC3" s="10"/>
      <c r="AD3" s="3"/>
      <c r="AE3" s="3"/>
      <c r="AF3" s="3"/>
      <c r="AG3" s="3"/>
    </row>
    <row r="4">
      <c r="A4" s="23">
        <v>73.0</v>
      </c>
      <c r="B4" s="25">
        <v>46028.0</v>
      </c>
      <c r="C4" s="6" t="s">
        <v>39</v>
      </c>
      <c r="D4" s="7" t="s">
        <v>40</v>
      </c>
      <c r="E4" s="23">
        <v>750.0</v>
      </c>
      <c r="F4" s="11">
        <f>E4-G4-H4-I4-J4-K4</f>
        <v>710.7</v>
      </c>
      <c r="G4" s="12">
        <v>23.5</v>
      </c>
      <c r="H4" s="12">
        <v>4.0</v>
      </c>
      <c r="I4" s="12">
        <v>6.5</v>
      </c>
      <c r="J4" s="12">
        <v>0.3</v>
      </c>
      <c r="K4" s="12">
        <v>5.0</v>
      </c>
      <c r="L4" s="7">
        <f t="shared" si="1"/>
        <v>0</v>
      </c>
      <c r="M4" s="10"/>
      <c r="N4" s="7">
        <f t="shared" si="2"/>
        <v>0</v>
      </c>
      <c r="O4" s="7"/>
      <c r="P4" s="7">
        <f t="shared" si="3"/>
        <v>0</v>
      </c>
      <c r="Q4" s="7"/>
      <c r="R4" s="7">
        <f t="shared" si="4"/>
        <v>0</v>
      </c>
      <c r="S4" s="7"/>
      <c r="T4" s="7">
        <f t="shared" si="5"/>
        <v>0</v>
      </c>
      <c r="U4" s="7"/>
      <c r="V4" s="7">
        <f t="shared" si="6"/>
        <v>0</v>
      </c>
      <c r="W4" s="10"/>
      <c r="X4" s="7">
        <f t="shared" si="7"/>
        <v>0</v>
      </c>
      <c r="Y4" s="10"/>
      <c r="Z4" s="7">
        <f t="shared" ref="Z4:Z23" si="9">AA4*16</f>
        <v>0</v>
      </c>
      <c r="AA4" s="10"/>
      <c r="AB4" s="7">
        <f t="shared" si="8"/>
        <v>0</v>
      </c>
      <c r="AC4" s="10"/>
      <c r="AD4" s="3"/>
      <c r="AE4" s="3"/>
      <c r="AF4" s="3"/>
      <c r="AG4" s="3"/>
    </row>
    <row r="5">
      <c r="A5" s="23">
        <v>75.0</v>
      </c>
      <c r="B5" s="25">
        <v>46030.0</v>
      </c>
      <c r="C5" s="24" t="s">
        <v>41</v>
      </c>
      <c r="D5" s="7" t="s">
        <v>40</v>
      </c>
      <c r="E5" s="23">
        <v>870.0</v>
      </c>
      <c r="F5" s="10"/>
      <c r="G5" s="10"/>
      <c r="H5" s="10"/>
      <c r="I5" s="10"/>
      <c r="J5" s="10"/>
      <c r="K5" s="10"/>
      <c r="L5" s="7">
        <f t="shared" si="1"/>
        <v>40</v>
      </c>
      <c r="M5" s="12">
        <v>4.0</v>
      </c>
      <c r="N5" s="7">
        <f t="shared" si="2"/>
        <v>440</v>
      </c>
      <c r="O5" s="23">
        <v>22.0</v>
      </c>
      <c r="P5" s="7">
        <f t="shared" si="3"/>
        <v>22</v>
      </c>
      <c r="Q5" s="12">
        <v>4.0</v>
      </c>
      <c r="R5" s="7">
        <f t="shared" si="4"/>
        <v>10</v>
      </c>
      <c r="S5" s="12">
        <v>4.0</v>
      </c>
      <c r="T5" s="7">
        <f t="shared" si="5"/>
        <v>35</v>
      </c>
      <c r="U5" s="12">
        <v>70.0</v>
      </c>
      <c r="V5" s="7">
        <f t="shared" si="6"/>
        <v>0</v>
      </c>
      <c r="W5" s="10"/>
      <c r="X5" s="7">
        <f t="shared" si="7"/>
        <v>0</v>
      </c>
      <c r="Y5" s="10"/>
      <c r="Z5" s="7">
        <f t="shared" si="9"/>
        <v>0</v>
      </c>
      <c r="AA5" s="10"/>
      <c r="AB5" s="7">
        <f t="shared" si="8"/>
        <v>0</v>
      </c>
      <c r="AC5" s="10"/>
      <c r="AD5" s="3"/>
      <c r="AE5" s="3"/>
      <c r="AF5" s="3"/>
      <c r="AG5" s="3"/>
    </row>
    <row r="6">
      <c r="A6" s="23">
        <v>77.0</v>
      </c>
      <c r="B6" s="25">
        <v>46030.0</v>
      </c>
      <c r="C6" s="6" t="s">
        <v>41</v>
      </c>
      <c r="D6" s="7" t="s">
        <v>40</v>
      </c>
      <c r="E6" s="23">
        <v>960.0</v>
      </c>
      <c r="F6" s="11"/>
      <c r="G6" s="10"/>
      <c r="H6" s="7"/>
      <c r="I6" s="7"/>
      <c r="J6" s="7"/>
      <c r="K6" s="10"/>
      <c r="L6" s="7">
        <f t="shared" si="1"/>
        <v>0</v>
      </c>
      <c r="M6" s="10"/>
      <c r="N6" s="7">
        <f t="shared" si="2"/>
        <v>600</v>
      </c>
      <c r="O6" s="12">
        <v>30.0</v>
      </c>
      <c r="P6" s="7">
        <f t="shared" si="3"/>
        <v>0</v>
      </c>
      <c r="Q6" s="10"/>
      <c r="R6" s="7">
        <f t="shared" si="4"/>
        <v>0</v>
      </c>
      <c r="S6" s="10"/>
      <c r="T6" s="7">
        <f t="shared" si="5"/>
        <v>0</v>
      </c>
      <c r="U6" s="10"/>
      <c r="V6" s="7">
        <f t="shared" si="6"/>
        <v>0</v>
      </c>
      <c r="W6" s="10"/>
      <c r="X6" s="7">
        <f t="shared" si="7"/>
        <v>0</v>
      </c>
      <c r="Y6" s="10"/>
      <c r="Z6" s="7">
        <f t="shared" si="9"/>
        <v>0</v>
      </c>
      <c r="AA6" s="10"/>
      <c r="AB6" s="7">
        <f t="shared" si="8"/>
        <v>0</v>
      </c>
      <c r="AC6" s="10"/>
      <c r="AD6" s="3"/>
      <c r="AE6" s="3"/>
      <c r="AF6" s="3"/>
      <c r="AG6" s="3"/>
    </row>
    <row r="7">
      <c r="A7" s="23">
        <v>78.0</v>
      </c>
      <c r="B7" s="25">
        <v>46031.0</v>
      </c>
      <c r="C7" s="6" t="s">
        <v>39</v>
      </c>
      <c r="D7" s="7" t="s">
        <v>40</v>
      </c>
      <c r="E7" s="23">
        <v>600.0</v>
      </c>
      <c r="F7" s="11">
        <f>E7-G7-H7-I7-J7-K7</f>
        <v>501.8</v>
      </c>
      <c r="G7" s="27">
        <v>2.5</v>
      </c>
      <c r="H7" s="12">
        <v>1.5</v>
      </c>
      <c r="I7" s="12">
        <v>90.0</v>
      </c>
      <c r="J7" s="12">
        <v>0.2</v>
      </c>
      <c r="K7" s="12">
        <v>4.0</v>
      </c>
      <c r="L7" s="7">
        <f t="shared" si="1"/>
        <v>0</v>
      </c>
      <c r="M7" s="10"/>
      <c r="N7" s="7">
        <f t="shared" si="2"/>
        <v>0</v>
      </c>
      <c r="O7" s="7"/>
      <c r="P7" s="7">
        <f t="shared" si="3"/>
        <v>0</v>
      </c>
      <c r="Q7" s="7"/>
      <c r="R7" s="7">
        <f t="shared" si="4"/>
        <v>0</v>
      </c>
      <c r="S7" s="7"/>
      <c r="T7" s="7">
        <f t="shared" si="5"/>
        <v>0</v>
      </c>
      <c r="U7" s="7"/>
      <c r="V7" s="7">
        <f t="shared" si="6"/>
        <v>0</v>
      </c>
      <c r="W7" s="10"/>
      <c r="X7" s="7">
        <f t="shared" si="7"/>
        <v>0</v>
      </c>
      <c r="Y7" s="10"/>
      <c r="Z7" s="7">
        <f t="shared" si="9"/>
        <v>0</v>
      </c>
      <c r="AA7" s="10"/>
      <c r="AB7" s="7">
        <f t="shared" si="8"/>
        <v>0</v>
      </c>
      <c r="AC7" s="10"/>
      <c r="AD7" s="3"/>
      <c r="AE7" s="3"/>
      <c r="AF7" s="3"/>
      <c r="AG7" s="3"/>
    </row>
    <row r="8">
      <c r="A8" s="23">
        <v>81.0</v>
      </c>
      <c r="B8" s="25">
        <v>46035.0</v>
      </c>
      <c r="C8" s="6" t="s">
        <v>41</v>
      </c>
      <c r="D8" s="7" t="s">
        <v>40</v>
      </c>
      <c r="E8" s="23">
        <v>760.0</v>
      </c>
      <c r="F8" s="11"/>
      <c r="G8" s="7"/>
      <c r="H8" s="7"/>
      <c r="I8" s="7"/>
      <c r="J8" s="7"/>
      <c r="K8" s="7"/>
      <c r="L8" s="7">
        <f t="shared" si="1"/>
        <v>0</v>
      </c>
      <c r="M8" s="10"/>
      <c r="N8" s="7">
        <f t="shared" si="2"/>
        <v>460</v>
      </c>
      <c r="O8" s="12">
        <v>23.0</v>
      </c>
      <c r="P8" s="7">
        <f t="shared" si="3"/>
        <v>22</v>
      </c>
      <c r="Q8" s="12">
        <v>4.0</v>
      </c>
      <c r="R8" s="7">
        <f t="shared" si="4"/>
        <v>25</v>
      </c>
      <c r="S8" s="12">
        <v>10.0</v>
      </c>
      <c r="T8" s="7">
        <f t="shared" si="5"/>
        <v>72</v>
      </c>
      <c r="U8" s="12">
        <v>144.0</v>
      </c>
      <c r="V8" s="7">
        <f t="shared" si="6"/>
        <v>0</v>
      </c>
      <c r="W8" s="10"/>
      <c r="X8" s="7">
        <f t="shared" si="7"/>
        <v>0</v>
      </c>
      <c r="Y8" s="10"/>
      <c r="Z8" s="7">
        <f t="shared" si="9"/>
        <v>0</v>
      </c>
      <c r="AA8" s="10"/>
      <c r="AB8" s="7">
        <f t="shared" si="8"/>
        <v>0</v>
      </c>
      <c r="AC8" s="10"/>
      <c r="AD8" s="3"/>
      <c r="AE8" s="3"/>
      <c r="AF8" s="3"/>
      <c r="AG8" s="3"/>
    </row>
    <row r="9">
      <c r="A9" s="23">
        <v>82.0</v>
      </c>
      <c r="B9" s="25">
        <v>46035.0</v>
      </c>
      <c r="C9" s="6" t="s">
        <v>39</v>
      </c>
      <c r="D9" s="7" t="s">
        <v>40</v>
      </c>
      <c r="E9" s="23">
        <v>500.0</v>
      </c>
      <c r="F9" s="11">
        <f>E9-G9-H9-I9-J9-K9</f>
        <v>467</v>
      </c>
      <c r="G9" s="12">
        <v>4.0</v>
      </c>
      <c r="H9" s="12">
        <v>1.0</v>
      </c>
      <c r="I9" s="12">
        <v>21.5</v>
      </c>
      <c r="J9" s="12">
        <v>0.5</v>
      </c>
      <c r="K9" s="12">
        <v>6.0</v>
      </c>
      <c r="L9" s="7">
        <f t="shared" si="1"/>
        <v>0</v>
      </c>
      <c r="M9" s="10"/>
      <c r="N9" s="7">
        <f t="shared" si="2"/>
        <v>0</v>
      </c>
      <c r="O9" s="7"/>
      <c r="P9" s="7">
        <f t="shared" si="3"/>
        <v>0</v>
      </c>
      <c r="Q9" s="7"/>
      <c r="R9" s="7">
        <f t="shared" si="4"/>
        <v>0</v>
      </c>
      <c r="S9" s="10"/>
      <c r="T9" s="7">
        <f t="shared" si="5"/>
        <v>0</v>
      </c>
      <c r="U9" s="10"/>
      <c r="V9" s="7">
        <f t="shared" si="6"/>
        <v>0</v>
      </c>
      <c r="W9" s="10"/>
      <c r="X9" s="7">
        <f t="shared" si="7"/>
        <v>0</v>
      </c>
      <c r="Y9" s="10"/>
      <c r="Z9" s="7">
        <f t="shared" si="9"/>
        <v>0</v>
      </c>
      <c r="AA9" s="10"/>
      <c r="AB9" s="7">
        <f t="shared" si="8"/>
        <v>0</v>
      </c>
      <c r="AC9" s="10"/>
      <c r="AD9" s="3"/>
      <c r="AE9" s="3"/>
      <c r="AF9" s="3"/>
      <c r="AG9" s="3"/>
    </row>
    <row r="10">
      <c r="A10" s="23">
        <v>84.0</v>
      </c>
      <c r="B10" s="25">
        <v>46037.0</v>
      </c>
      <c r="C10" s="24" t="s">
        <v>41</v>
      </c>
      <c r="D10" s="7" t="s">
        <v>40</v>
      </c>
      <c r="E10" s="23">
        <v>800.0</v>
      </c>
      <c r="F10" s="10"/>
      <c r="G10" s="10"/>
      <c r="H10" s="10"/>
      <c r="I10" s="10"/>
      <c r="J10" s="10"/>
      <c r="K10" s="10"/>
      <c r="L10" s="7">
        <f t="shared" si="1"/>
        <v>0</v>
      </c>
      <c r="M10" s="10"/>
      <c r="N10" s="7">
        <f t="shared" si="2"/>
        <v>320</v>
      </c>
      <c r="O10" s="23">
        <v>16.0</v>
      </c>
      <c r="P10" s="7">
        <f t="shared" si="3"/>
        <v>0</v>
      </c>
      <c r="Q10" s="10"/>
      <c r="R10" s="7">
        <f t="shared" si="4"/>
        <v>0</v>
      </c>
      <c r="S10" s="10"/>
      <c r="T10" s="7">
        <f t="shared" si="5"/>
        <v>0</v>
      </c>
      <c r="U10" s="10"/>
      <c r="V10" s="7">
        <f t="shared" si="6"/>
        <v>0</v>
      </c>
      <c r="W10" s="10"/>
      <c r="X10" s="7">
        <f t="shared" si="7"/>
        <v>0</v>
      </c>
      <c r="Y10" s="10"/>
      <c r="Z10" s="7">
        <f t="shared" si="9"/>
        <v>0</v>
      </c>
      <c r="AA10" s="10"/>
      <c r="AB10" s="7">
        <f t="shared" si="8"/>
        <v>0</v>
      </c>
      <c r="AC10" s="10"/>
      <c r="AD10" s="3"/>
      <c r="AE10" s="3"/>
      <c r="AF10" s="3"/>
      <c r="AG10" s="3"/>
    </row>
    <row r="11">
      <c r="A11" s="23">
        <v>85.0</v>
      </c>
      <c r="B11" s="25">
        <v>46037.0</v>
      </c>
      <c r="C11" s="6" t="s">
        <v>41</v>
      </c>
      <c r="D11" s="7" t="s">
        <v>40</v>
      </c>
      <c r="E11" s="23">
        <v>860.0</v>
      </c>
      <c r="F11" s="11"/>
      <c r="G11" s="28"/>
      <c r="H11" s="28"/>
      <c r="I11" s="28"/>
      <c r="J11" s="28"/>
      <c r="K11" s="10"/>
      <c r="L11" s="7">
        <f t="shared" si="1"/>
        <v>0</v>
      </c>
      <c r="M11" s="10"/>
      <c r="N11" s="7">
        <f t="shared" si="2"/>
        <v>680</v>
      </c>
      <c r="O11" s="12">
        <v>34.0</v>
      </c>
      <c r="P11" s="7">
        <f t="shared" si="3"/>
        <v>0</v>
      </c>
      <c r="Q11" s="10"/>
      <c r="R11" s="7">
        <f t="shared" si="4"/>
        <v>0</v>
      </c>
      <c r="S11" s="10"/>
      <c r="T11" s="7">
        <f t="shared" si="5"/>
        <v>0</v>
      </c>
      <c r="U11" s="10"/>
      <c r="V11" s="7">
        <f t="shared" si="6"/>
        <v>0</v>
      </c>
      <c r="W11" s="10"/>
      <c r="X11" s="7">
        <f t="shared" si="7"/>
        <v>0</v>
      </c>
      <c r="Y11" s="10"/>
      <c r="Z11" s="7">
        <f t="shared" si="9"/>
        <v>0</v>
      </c>
      <c r="AA11" s="10"/>
      <c r="AB11" s="7">
        <f t="shared" si="8"/>
        <v>0</v>
      </c>
      <c r="AC11" s="10"/>
      <c r="AD11" s="3"/>
      <c r="AE11" s="3"/>
      <c r="AF11" s="3"/>
      <c r="AG11" s="3"/>
    </row>
    <row r="12">
      <c r="A12" s="23">
        <v>87.0</v>
      </c>
      <c r="B12" s="25">
        <v>46038.0</v>
      </c>
      <c r="C12" s="6" t="s">
        <v>39</v>
      </c>
      <c r="D12" s="7" t="s">
        <v>40</v>
      </c>
      <c r="E12" s="23">
        <v>450.0</v>
      </c>
      <c r="F12" s="11">
        <f>E12-G12-H12-I12-J12-K12</f>
        <v>435</v>
      </c>
      <c r="G12" s="27">
        <v>1.0</v>
      </c>
      <c r="H12" s="12">
        <v>1.5</v>
      </c>
      <c r="I12" s="12">
        <v>12.5</v>
      </c>
      <c r="J12" s="10"/>
      <c r="K12" s="10"/>
      <c r="L12" s="7">
        <f t="shared" si="1"/>
        <v>0</v>
      </c>
      <c r="M12" s="10"/>
      <c r="N12" s="7">
        <f t="shared" si="2"/>
        <v>0</v>
      </c>
      <c r="O12" s="28"/>
      <c r="P12" s="7">
        <f t="shared" si="3"/>
        <v>0</v>
      </c>
      <c r="Q12" s="28"/>
      <c r="R12" s="7">
        <f t="shared" si="4"/>
        <v>0</v>
      </c>
      <c r="S12" s="28"/>
      <c r="T12" s="7">
        <f t="shared" si="5"/>
        <v>0</v>
      </c>
      <c r="U12" s="28"/>
      <c r="V12" s="7">
        <f t="shared" si="6"/>
        <v>0</v>
      </c>
      <c r="W12" s="10"/>
      <c r="X12" s="7">
        <f t="shared" si="7"/>
        <v>0</v>
      </c>
      <c r="Y12" s="10"/>
      <c r="Z12" s="7">
        <f t="shared" si="9"/>
        <v>0</v>
      </c>
      <c r="AA12" s="10"/>
      <c r="AB12" s="7">
        <f t="shared" si="8"/>
        <v>0</v>
      </c>
      <c r="AC12" s="10"/>
      <c r="AD12" s="3"/>
      <c r="AE12" s="3"/>
      <c r="AF12" s="3"/>
      <c r="AG12" s="3"/>
    </row>
    <row r="13">
      <c r="A13" s="23">
        <v>89.0</v>
      </c>
      <c r="B13" s="25">
        <v>46042.0</v>
      </c>
      <c r="C13" s="6" t="s">
        <v>41</v>
      </c>
      <c r="D13" s="7" t="s">
        <v>40</v>
      </c>
      <c r="E13" s="23">
        <v>880.0</v>
      </c>
      <c r="F13" s="11"/>
      <c r="G13" s="28"/>
      <c r="H13" s="28"/>
      <c r="I13" s="28"/>
      <c r="J13" s="10"/>
      <c r="K13" s="10"/>
      <c r="L13" s="7">
        <f t="shared" si="1"/>
        <v>0</v>
      </c>
      <c r="M13" s="10"/>
      <c r="N13" s="7">
        <f t="shared" si="2"/>
        <v>360</v>
      </c>
      <c r="O13" s="12">
        <v>18.0</v>
      </c>
      <c r="P13" s="7">
        <f t="shared" si="3"/>
        <v>181.5</v>
      </c>
      <c r="Q13" s="12">
        <v>33.0</v>
      </c>
      <c r="R13" s="7">
        <f t="shared" si="4"/>
        <v>0</v>
      </c>
      <c r="S13" s="10"/>
      <c r="T13" s="7">
        <f t="shared" si="5"/>
        <v>72</v>
      </c>
      <c r="U13" s="12">
        <v>144.0</v>
      </c>
      <c r="V13" s="7">
        <f t="shared" si="6"/>
        <v>0</v>
      </c>
      <c r="W13" s="10"/>
      <c r="X13" s="7">
        <f t="shared" si="7"/>
        <v>0</v>
      </c>
      <c r="Y13" s="10"/>
      <c r="Z13" s="7">
        <f t="shared" si="9"/>
        <v>0</v>
      </c>
      <c r="AA13" s="10"/>
      <c r="AB13" s="7">
        <f t="shared" si="8"/>
        <v>0</v>
      </c>
      <c r="AC13" s="10"/>
      <c r="AD13" s="3"/>
      <c r="AE13" s="3"/>
      <c r="AF13" s="3"/>
      <c r="AG13" s="3"/>
    </row>
    <row r="14">
      <c r="A14" s="23">
        <v>90.0</v>
      </c>
      <c r="B14" s="25">
        <v>46042.0</v>
      </c>
      <c r="C14" s="6" t="s">
        <v>39</v>
      </c>
      <c r="D14" s="7" t="s">
        <v>40</v>
      </c>
      <c r="E14" s="23">
        <v>560.0</v>
      </c>
      <c r="F14" s="11">
        <f>E14-G14-H14-I14-J14-K14</f>
        <v>518</v>
      </c>
      <c r="G14" s="12">
        <v>12.0</v>
      </c>
      <c r="H14" s="12">
        <v>5.0</v>
      </c>
      <c r="I14" s="12">
        <v>24.0</v>
      </c>
      <c r="J14" s="12">
        <v>1.0</v>
      </c>
      <c r="K14" s="10"/>
      <c r="L14" s="7">
        <f t="shared" si="1"/>
        <v>0</v>
      </c>
      <c r="M14" s="10"/>
      <c r="N14" s="7">
        <f t="shared" si="2"/>
        <v>0</v>
      </c>
      <c r="O14" s="7"/>
      <c r="P14" s="7">
        <f t="shared" si="3"/>
        <v>0</v>
      </c>
      <c r="Q14" s="7"/>
      <c r="R14" s="7">
        <f t="shared" si="4"/>
        <v>0</v>
      </c>
      <c r="S14" s="7"/>
      <c r="T14" s="7">
        <f t="shared" si="5"/>
        <v>0</v>
      </c>
      <c r="U14" s="10"/>
      <c r="V14" s="7">
        <f t="shared" si="6"/>
        <v>0</v>
      </c>
      <c r="W14" s="10"/>
      <c r="X14" s="7">
        <f t="shared" si="7"/>
        <v>0</v>
      </c>
      <c r="Y14" s="10"/>
      <c r="Z14" s="7">
        <f t="shared" si="9"/>
        <v>0</v>
      </c>
      <c r="AA14" s="10"/>
      <c r="AB14" s="7">
        <f t="shared" si="8"/>
        <v>0</v>
      </c>
      <c r="AC14" s="10"/>
      <c r="AD14" s="3"/>
      <c r="AE14" s="3"/>
      <c r="AF14" s="3"/>
      <c r="AG14" s="3"/>
    </row>
    <row r="15">
      <c r="A15" s="23">
        <v>211.0</v>
      </c>
      <c r="B15" s="25">
        <v>46044.0</v>
      </c>
      <c r="C15" s="24" t="s">
        <v>41</v>
      </c>
      <c r="D15" s="7" t="s">
        <v>40</v>
      </c>
      <c r="E15" s="23">
        <v>960.0</v>
      </c>
      <c r="F15" s="10"/>
      <c r="G15" s="10"/>
      <c r="H15" s="10"/>
      <c r="I15" s="10"/>
      <c r="J15" s="10"/>
      <c r="K15" s="10"/>
      <c r="L15" s="7">
        <f t="shared" si="1"/>
        <v>0</v>
      </c>
      <c r="M15" s="10"/>
      <c r="N15" s="7">
        <f t="shared" si="2"/>
        <v>640</v>
      </c>
      <c r="O15" s="12">
        <v>32.0</v>
      </c>
      <c r="P15" s="7">
        <f t="shared" si="3"/>
        <v>0</v>
      </c>
      <c r="Q15" s="10"/>
      <c r="R15" s="7">
        <f t="shared" si="4"/>
        <v>0</v>
      </c>
      <c r="S15" s="10"/>
      <c r="T15" s="7">
        <f t="shared" si="5"/>
        <v>0</v>
      </c>
      <c r="U15" s="10"/>
      <c r="V15" s="7">
        <f t="shared" si="6"/>
        <v>0</v>
      </c>
      <c r="W15" s="10"/>
      <c r="X15" s="7">
        <f t="shared" si="7"/>
        <v>0</v>
      </c>
      <c r="Y15" s="10"/>
      <c r="Z15" s="7">
        <f t="shared" si="9"/>
        <v>0</v>
      </c>
      <c r="AA15" s="10"/>
      <c r="AB15" s="7">
        <f t="shared" si="8"/>
        <v>0</v>
      </c>
      <c r="AC15" s="10"/>
      <c r="AD15" s="3"/>
      <c r="AE15" s="3"/>
      <c r="AF15" s="3"/>
      <c r="AG15" s="3"/>
    </row>
    <row r="16">
      <c r="A16" s="23">
        <v>212.0</v>
      </c>
      <c r="B16" s="25">
        <v>46044.0</v>
      </c>
      <c r="C16" s="6" t="s">
        <v>41</v>
      </c>
      <c r="D16" s="7" t="s">
        <v>40</v>
      </c>
      <c r="E16" s="23">
        <v>970.0</v>
      </c>
      <c r="F16" s="11"/>
      <c r="G16" s="28"/>
      <c r="H16" s="28"/>
      <c r="I16" s="28"/>
      <c r="J16" s="10"/>
      <c r="K16" s="10"/>
      <c r="L16" s="7">
        <f t="shared" si="1"/>
        <v>0</v>
      </c>
      <c r="M16" s="10"/>
      <c r="N16" s="7">
        <f t="shared" si="2"/>
        <v>500</v>
      </c>
      <c r="O16" s="12">
        <v>25.0</v>
      </c>
      <c r="P16" s="7">
        <f t="shared" si="3"/>
        <v>0</v>
      </c>
      <c r="Q16" s="10"/>
      <c r="R16" s="7">
        <f t="shared" si="4"/>
        <v>0</v>
      </c>
      <c r="S16" s="10"/>
      <c r="T16" s="7">
        <f t="shared" si="5"/>
        <v>0</v>
      </c>
      <c r="U16" s="10"/>
      <c r="V16" s="7">
        <f t="shared" si="6"/>
        <v>0</v>
      </c>
      <c r="W16" s="10"/>
      <c r="X16" s="7">
        <f t="shared" si="7"/>
        <v>0</v>
      </c>
      <c r="Y16" s="10"/>
      <c r="Z16" s="7">
        <f t="shared" si="9"/>
        <v>0</v>
      </c>
      <c r="AA16" s="10"/>
      <c r="AB16" s="7">
        <f t="shared" si="8"/>
        <v>0</v>
      </c>
      <c r="AC16" s="10"/>
      <c r="AD16" s="3"/>
      <c r="AE16" s="3"/>
      <c r="AF16" s="3"/>
      <c r="AG16" s="3"/>
    </row>
    <row r="17">
      <c r="A17" s="23">
        <v>92.0</v>
      </c>
      <c r="B17" s="25">
        <v>46045.0</v>
      </c>
      <c r="C17" s="6" t="s">
        <v>39</v>
      </c>
      <c r="D17" s="7" t="s">
        <v>40</v>
      </c>
      <c r="E17" s="23">
        <v>850.0</v>
      </c>
      <c r="F17" s="11">
        <f>E17-G17-H17-I17-J17-K17</f>
        <v>831.5</v>
      </c>
      <c r="G17" s="12">
        <v>3.0</v>
      </c>
      <c r="H17" s="12">
        <v>2.0</v>
      </c>
      <c r="I17" s="12">
        <v>10.0</v>
      </c>
      <c r="J17" s="12">
        <v>0.5</v>
      </c>
      <c r="K17" s="12">
        <v>3.0</v>
      </c>
      <c r="L17" s="7">
        <f t="shared" si="1"/>
        <v>0</v>
      </c>
      <c r="M17" s="10"/>
      <c r="N17" s="7">
        <f t="shared" si="2"/>
        <v>0</v>
      </c>
      <c r="O17" s="28"/>
      <c r="P17" s="7">
        <f t="shared" si="3"/>
        <v>0</v>
      </c>
      <c r="Q17" s="10"/>
      <c r="R17" s="7">
        <f t="shared" si="4"/>
        <v>0</v>
      </c>
      <c r="S17" s="28"/>
      <c r="T17" s="7">
        <f t="shared" si="5"/>
        <v>0</v>
      </c>
      <c r="U17" s="28"/>
      <c r="V17" s="7">
        <f t="shared" si="6"/>
        <v>0</v>
      </c>
      <c r="W17" s="10"/>
      <c r="X17" s="7">
        <f t="shared" si="7"/>
        <v>0</v>
      </c>
      <c r="Y17" s="10"/>
      <c r="Z17" s="7">
        <f t="shared" si="9"/>
        <v>0</v>
      </c>
      <c r="AA17" s="10"/>
      <c r="AB17" s="7">
        <f t="shared" si="8"/>
        <v>0</v>
      </c>
      <c r="AC17" s="10"/>
      <c r="AD17" s="3"/>
      <c r="AE17" s="3"/>
      <c r="AF17" s="3"/>
      <c r="AG17" s="3"/>
    </row>
    <row r="18">
      <c r="A18" s="23">
        <v>95.0</v>
      </c>
      <c r="B18" s="25">
        <v>46049.0</v>
      </c>
      <c r="C18" s="6" t="s">
        <v>41</v>
      </c>
      <c r="D18" s="7" t="s">
        <v>40</v>
      </c>
      <c r="E18" s="23">
        <v>840.0</v>
      </c>
      <c r="F18" s="11"/>
      <c r="G18" s="28"/>
      <c r="H18" s="28"/>
      <c r="I18" s="28"/>
      <c r="J18" s="28"/>
      <c r="K18" s="10"/>
      <c r="L18" s="7">
        <f t="shared" si="1"/>
        <v>0</v>
      </c>
      <c r="M18" s="10"/>
      <c r="N18" s="7">
        <f t="shared" si="2"/>
        <v>300</v>
      </c>
      <c r="O18" s="12">
        <v>15.0</v>
      </c>
      <c r="P18" s="7">
        <f t="shared" si="3"/>
        <v>0</v>
      </c>
      <c r="Q18" s="10"/>
      <c r="R18" s="7">
        <f t="shared" si="4"/>
        <v>40</v>
      </c>
      <c r="S18" s="12">
        <v>16.0</v>
      </c>
      <c r="T18" s="7">
        <f t="shared" si="5"/>
        <v>85</v>
      </c>
      <c r="U18" s="12">
        <v>170.0</v>
      </c>
      <c r="V18" s="7">
        <f t="shared" si="6"/>
        <v>0</v>
      </c>
      <c r="W18" s="10"/>
      <c r="X18" s="7">
        <f t="shared" si="7"/>
        <v>0</v>
      </c>
      <c r="Y18" s="10"/>
      <c r="Z18" s="7">
        <f t="shared" si="9"/>
        <v>0</v>
      </c>
      <c r="AA18" s="10"/>
      <c r="AB18" s="7">
        <f t="shared" si="8"/>
        <v>0</v>
      </c>
      <c r="AC18" s="10"/>
      <c r="AD18" s="3"/>
      <c r="AE18" s="3"/>
      <c r="AF18" s="3"/>
      <c r="AG18" s="3"/>
    </row>
    <row r="19">
      <c r="A19" s="23">
        <v>96.0</v>
      </c>
      <c r="B19" s="25">
        <v>46049.0</v>
      </c>
      <c r="C19" s="6" t="s">
        <v>39</v>
      </c>
      <c r="D19" s="7" t="s">
        <v>40</v>
      </c>
      <c r="E19" s="23">
        <v>740.0</v>
      </c>
      <c r="F19" s="11">
        <f>E19-G19-H19-I19-J19-K19</f>
        <v>691.8</v>
      </c>
      <c r="G19" s="12">
        <v>3.0</v>
      </c>
      <c r="H19" s="12">
        <v>16.0</v>
      </c>
      <c r="I19" s="12">
        <v>21.0</v>
      </c>
      <c r="J19" s="12">
        <v>0.2</v>
      </c>
      <c r="K19" s="12">
        <v>8.0</v>
      </c>
      <c r="L19" s="7">
        <f t="shared" si="1"/>
        <v>0</v>
      </c>
      <c r="M19" s="10"/>
      <c r="N19" s="7">
        <f t="shared" si="2"/>
        <v>0</v>
      </c>
      <c r="O19" s="28"/>
      <c r="P19" s="7">
        <f t="shared" si="3"/>
        <v>0</v>
      </c>
      <c r="Q19" s="28"/>
      <c r="R19" s="7">
        <f t="shared" si="4"/>
        <v>0</v>
      </c>
      <c r="S19" s="7"/>
      <c r="T19" s="7">
        <f t="shared" si="5"/>
        <v>0</v>
      </c>
      <c r="U19" s="7"/>
      <c r="V19" s="7">
        <f t="shared" si="6"/>
        <v>0</v>
      </c>
      <c r="W19" s="10"/>
      <c r="X19" s="7">
        <f t="shared" si="7"/>
        <v>0</v>
      </c>
      <c r="Y19" s="10"/>
      <c r="Z19" s="7">
        <f t="shared" si="9"/>
        <v>0</v>
      </c>
      <c r="AA19" s="10"/>
      <c r="AB19" s="7">
        <f t="shared" si="8"/>
        <v>0</v>
      </c>
      <c r="AC19" s="10"/>
      <c r="AD19" s="3"/>
      <c r="AE19" s="3"/>
      <c r="AF19" s="3"/>
      <c r="AG19" s="3"/>
    </row>
    <row r="20">
      <c r="A20" s="23">
        <v>98.0</v>
      </c>
      <c r="B20" s="25">
        <v>46051.0</v>
      </c>
      <c r="C20" s="24" t="s">
        <v>41</v>
      </c>
      <c r="D20" s="7" t="s">
        <v>40</v>
      </c>
      <c r="E20" s="23">
        <v>840.0</v>
      </c>
      <c r="F20" s="11"/>
      <c r="G20" s="10"/>
      <c r="H20" s="10"/>
      <c r="I20" s="10"/>
      <c r="J20" s="10"/>
      <c r="K20" s="10"/>
      <c r="L20" s="7">
        <f t="shared" si="1"/>
        <v>0</v>
      </c>
      <c r="M20" s="10"/>
      <c r="N20" s="7">
        <f t="shared" si="2"/>
        <v>360</v>
      </c>
      <c r="O20" s="12">
        <v>18.0</v>
      </c>
      <c r="P20" s="7">
        <f t="shared" si="3"/>
        <v>121</v>
      </c>
      <c r="Q20" s="12">
        <v>22.0</v>
      </c>
      <c r="R20" s="7">
        <f t="shared" si="4"/>
        <v>0</v>
      </c>
      <c r="S20" s="10"/>
      <c r="T20" s="7">
        <f t="shared" si="5"/>
        <v>15.5</v>
      </c>
      <c r="U20" s="12">
        <v>31.0</v>
      </c>
      <c r="V20" s="7">
        <f t="shared" si="6"/>
        <v>0</v>
      </c>
      <c r="W20" s="10"/>
      <c r="X20" s="7">
        <f t="shared" si="7"/>
        <v>0</v>
      </c>
      <c r="Y20" s="10"/>
      <c r="Z20" s="7">
        <f t="shared" si="9"/>
        <v>0</v>
      </c>
      <c r="AA20" s="10"/>
      <c r="AB20" s="7">
        <f t="shared" si="8"/>
        <v>0</v>
      </c>
      <c r="AC20" s="10"/>
      <c r="AD20" s="3"/>
      <c r="AE20" s="3"/>
      <c r="AF20" s="3"/>
      <c r="AG20" s="3"/>
    </row>
    <row r="21">
      <c r="A21" s="23">
        <v>99.0</v>
      </c>
      <c r="B21" s="25">
        <v>46051.0</v>
      </c>
      <c r="C21" s="6" t="s">
        <v>41</v>
      </c>
      <c r="D21" s="7" t="s">
        <v>40</v>
      </c>
      <c r="E21" s="23">
        <v>800.0</v>
      </c>
      <c r="F21" s="11"/>
      <c r="G21" s="28"/>
      <c r="H21" s="28"/>
      <c r="I21" s="28"/>
      <c r="J21" s="28"/>
      <c r="K21" s="28"/>
      <c r="L21" s="7">
        <f t="shared" si="1"/>
        <v>0</v>
      </c>
      <c r="M21" s="10"/>
      <c r="N21" s="7">
        <f t="shared" si="2"/>
        <v>280</v>
      </c>
      <c r="O21" s="12">
        <v>14.0</v>
      </c>
      <c r="P21" s="7">
        <f t="shared" si="3"/>
        <v>0</v>
      </c>
      <c r="Q21" s="10"/>
      <c r="R21" s="7">
        <f t="shared" si="4"/>
        <v>0</v>
      </c>
      <c r="S21" s="10"/>
      <c r="T21" s="7">
        <f t="shared" si="5"/>
        <v>0</v>
      </c>
      <c r="U21" s="10"/>
      <c r="V21" s="7">
        <f t="shared" si="6"/>
        <v>0</v>
      </c>
      <c r="W21" s="10"/>
      <c r="X21" s="7">
        <f t="shared" si="7"/>
        <v>0</v>
      </c>
      <c r="Y21" s="10"/>
      <c r="Z21" s="7">
        <f t="shared" si="9"/>
        <v>0</v>
      </c>
      <c r="AA21" s="10"/>
      <c r="AB21" s="7">
        <f t="shared" si="8"/>
        <v>0</v>
      </c>
      <c r="AC21" s="10"/>
      <c r="AD21" s="3"/>
      <c r="AE21" s="3"/>
      <c r="AF21" s="3"/>
      <c r="AG21" s="3"/>
    </row>
    <row r="22">
      <c r="A22" s="12">
        <v>213.0</v>
      </c>
      <c r="B22" s="25">
        <v>46052.0</v>
      </c>
      <c r="C22" s="12" t="s">
        <v>39</v>
      </c>
      <c r="D22" s="7" t="s">
        <v>40</v>
      </c>
      <c r="E22" s="12">
        <v>610.0</v>
      </c>
      <c r="F22" s="11">
        <f>E22-G22-H22-I22-J22-K22</f>
        <v>562.9</v>
      </c>
      <c r="G22" s="12">
        <v>19.5</v>
      </c>
      <c r="H22" s="12">
        <v>8.5</v>
      </c>
      <c r="I22" s="12">
        <v>18.0</v>
      </c>
      <c r="J22" s="12">
        <v>0.1</v>
      </c>
      <c r="K22" s="12">
        <v>1.0</v>
      </c>
      <c r="L22" s="10"/>
      <c r="M22" s="10"/>
      <c r="N22" s="7">
        <f t="shared" si="2"/>
        <v>0</v>
      </c>
      <c r="O22" s="10"/>
      <c r="P22" s="7">
        <f t="shared" si="3"/>
        <v>0</v>
      </c>
      <c r="Q22" s="10"/>
      <c r="R22" s="7">
        <f t="shared" si="4"/>
        <v>0</v>
      </c>
      <c r="S22" s="10"/>
      <c r="T22" s="7">
        <f t="shared" si="5"/>
        <v>0</v>
      </c>
      <c r="U22" s="10"/>
      <c r="V22" s="7">
        <f t="shared" si="6"/>
        <v>0</v>
      </c>
      <c r="W22" s="10"/>
      <c r="X22" s="7">
        <f t="shared" si="7"/>
        <v>0</v>
      </c>
      <c r="Y22" s="10"/>
      <c r="Z22" s="7">
        <f t="shared" si="9"/>
        <v>0</v>
      </c>
      <c r="AA22" s="10"/>
      <c r="AB22" s="7">
        <f t="shared" si="8"/>
        <v>0</v>
      </c>
      <c r="AC22" s="10"/>
      <c r="AD22" s="3"/>
      <c r="AE22" s="3"/>
      <c r="AF22" s="3"/>
      <c r="AG22" s="3"/>
    </row>
    <row r="23">
      <c r="A23" s="10"/>
      <c r="B23" s="31"/>
      <c r="C23" s="10"/>
      <c r="D23" s="7" t="s">
        <v>40</v>
      </c>
      <c r="E23" s="10"/>
      <c r="F23" s="10"/>
      <c r="G23" s="10"/>
      <c r="H23" s="10"/>
      <c r="I23" s="10"/>
      <c r="J23" s="10"/>
      <c r="K23" s="10"/>
      <c r="L23" s="10"/>
      <c r="M23" s="10"/>
      <c r="N23" s="7">
        <f t="shared" si="2"/>
        <v>0</v>
      </c>
      <c r="O23" s="10"/>
      <c r="P23" s="7">
        <f t="shared" si="3"/>
        <v>0</v>
      </c>
      <c r="Q23" s="10"/>
      <c r="R23" s="7">
        <f t="shared" si="4"/>
        <v>0</v>
      </c>
      <c r="S23" s="10"/>
      <c r="T23" s="7">
        <f t="shared" si="5"/>
        <v>0</v>
      </c>
      <c r="U23" s="10"/>
      <c r="V23" s="7">
        <f t="shared" si="6"/>
        <v>0</v>
      </c>
      <c r="W23" s="10"/>
      <c r="X23" s="7">
        <f t="shared" si="7"/>
        <v>0</v>
      </c>
      <c r="Y23" s="10"/>
      <c r="Z23" s="7">
        <f t="shared" si="9"/>
        <v>0</v>
      </c>
      <c r="AA23" s="10"/>
      <c r="AB23" s="7">
        <f t="shared" si="8"/>
        <v>0</v>
      </c>
      <c r="AC23" s="10"/>
      <c r="AD23" s="3"/>
      <c r="AE23" s="3"/>
      <c r="AF23" s="3"/>
      <c r="AG23" s="3"/>
    </row>
    <row r="24">
      <c r="A24" s="32" t="s">
        <v>55</v>
      </c>
      <c r="B24" s="33"/>
      <c r="C24" s="33"/>
      <c r="D24" s="34"/>
      <c r="E24" s="35">
        <f>SUM(F24:AB24)</f>
        <v>13045.5</v>
      </c>
      <c r="F24" s="35">
        <f t="shared" ref="F24:AC24" si="10">SUM(F2:F23)</f>
        <v>5094.2</v>
      </c>
      <c r="G24" s="35">
        <f t="shared" si="10"/>
        <v>75</v>
      </c>
      <c r="H24" s="35">
        <f t="shared" si="10"/>
        <v>41</v>
      </c>
      <c r="I24" s="35">
        <f t="shared" si="10"/>
        <v>209.5</v>
      </c>
      <c r="J24" s="35">
        <f t="shared" si="10"/>
        <v>3.3</v>
      </c>
      <c r="K24" s="35">
        <f t="shared" si="10"/>
        <v>27</v>
      </c>
      <c r="L24" s="35">
        <f t="shared" si="10"/>
        <v>40</v>
      </c>
      <c r="M24" s="35">
        <f t="shared" si="10"/>
        <v>4</v>
      </c>
      <c r="N24" s="35">
        <f t="shared" si="10"/>
        <v>5440</v>
      </c>
      <c r="O24" s="35">
        <f t="shared" si="10"/>
        <v>272</v>
      </c>
      <c r="P24" s="35">
        <f t="shared" si="10"/>
        <v>456.5</v>
      </c>
      <c r="Q24" s="35">
        <f t="shared" si="10"/>
        <v>83</v>
      </c>
      <c r="R24" s="35">
        <f t="shared" si="10"/>
        <v>140</v>
      </c>
      <c r="S24" s="35">
        <f t="shared" si="10"/>
        <v>56</v>
      </c>
      <c r="T24" s="35">
        <f t="shared" si="10"/>
        <v>368</v>
      </c>
      <c r="U24" s="35">
        <f t="shared" si="10"/>
        <v>736</v>
      </c>
      <c r="V24" s="35">
        <f t="shared" si="10"/>
        <v>0</v>
      </c>
      <c r="W24" s="35">
        <f t="shared" si="10"/>
        <v>0</v>
      </c>
      <c r="X24" s="35">
        <f t="shared" si="10"/>
        <v>0</v>
      </c>
      <c r="Y24" s="35">
        <f t="shared" si="10"/>
        <v>0</v>
      </c>
      <c r="Z24" s="35">
        <f t="shared" si="10"/>
        <v>0</v>
      </c>
      <c r="AA24" s="35">
        <f t="shared" si="10"/>
        <v>0</v>
      </c>
      <c r="AB24" s="35">
        <f t="shared" si="10"/>
        <v>0</v>
      </c>
      <c r="AC24" s="35">
        <f t="shared" si="10"/>
        <v>0</v>
      </c>
      <c r="AD24" s="3"/>
      <c r="AE24" s="3"/>
      <c r="AF24" s="3"/>
      <c r="AG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>
      <c r="A26" s="3"/>
      <c r="B26" s="13" t="s">
        <v>56</v>
      </c>
      <c r="C26" s="3"/>
      <c r="D26" s="3"/>
      <c r="E26" s="3"/>
      <c r="F26" s="3"/>
      <c r="G26" s="13" t="s">
        <v>57</v>
      </c>
      <c r="H26" s="38">
        <f>H24+I24+L24+R24+T24+AB24+K24</f>
        <v>825.5</v>
      </c>
      <c r="I26" s="3"/>
      <c r="J26" s="13" t="s">
        <v>58</v>
      </c>
      <c r="K26" s="38">
        <f>SUM(F24+G24)</f>
        <v>5169.2</v>
      </c>
      <c r="L26" s="3"/>
      <c r="M26" s="13" t="s">
        <v>59</v>
      </c>
      <c r="N26" s="38">
        <f>J24+Z24</f>
        <v>3.3</v>
      </c>
      <c r="O26" s="3"/>
      <c r="P26" s="3"/>
      <c r="Q26" s="3"/>
      <c r="R26" s="3"/>
      <c r="S26" s="3"/>
      <c r="T26" s="3"/>
      <c r="U26" s="3"/>
      <c r="V26" s="41">
        <f t="shared" ref="V26:W26" si="11">SUM(V24,X24,Z24,AB24)</f>
        <v>0</v>
      </c>
      <c r="W26" s="38">
        <f t="shared" si="11"/>
        <v>0</v>
      </c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>
      <c r="A27" s="2" t="s">
        <v>16</v>
      </c>
      <c r="B27" s="2" t="s">
        <v>1</v>
      </c>
      <c r="C27" s="2" t="s">
        <v>61</v>
      </c>
      <c r="D27" s="2" t="s">
        <v>62</v>
      </c>
      <c r="E27" s="2" t="s">
        <v>63</v>
      </c>
      <c r="F27" s="3"/>
      <c r="G27" s="13" t="s">
        <v>64</v>
      </c>
      <c r="H27" s="13" t="s">
        <v>65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>
      <c r="A28" s="10"/>
      <c r="B28" s="31"/>
      <c r="C28" s="24" t="s">
        <v>66</v>
      </c>
      <c r="D28" s="10"/>
      <c r="E28" s="10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13" t="s">
        <v>67</v>
      </c>
      <c r="U28" s="38">
        <f>U24+S24</f>
        <v>792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>
      <c r="A29" s="10"/>
      <c r="B29" s="31"/>
      <c r="C29" s="24" t="s">
        <v>66</v>
      </c>
      <c r="D29" s="10"/>
      <c r="E29" s="10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13" t="s">
        <v>68</v>
      </c>
      <c r="U29" s="38">
        <f>T24+R24</f>
        <v>508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>
      <c r="A30" s="10"/>
      <c r="B30" s="31"/>
      <c r="C30" s="24" t="s">
        <v>66</v>
      </c>
      <c r="D30" s="10"/>
      <c r="E30" s="10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>
      <c r="A31" s="10"/>
      <c r="B31" s="31"/>
      <c r="C31" s="24" t="s">
        <v>66</v>
      </c>
      <c r="D31" s="10"/>
      <c r="E31" s="10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>
      <c r="A32" s="10"/>
      <c r="B32" s="31"/>
      <c r="C32" s="10"/>
      <c r="D32" s="7">
        <f>E32*20</f>
        <v>0</v>
      </c>
      <c r="E32" s="10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>
      <c r="A33" s="10"/>
      <c r="B33" s="31"/>
      <c r="C33" s="10"/>
      <c r="D33" s="10"/>
      <c r="E33" s="1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>
      <c r="A34" s="10"/>
      <c r="B34" s="31"/>
      <c r="C34" s="10"/>
      <c r="D34" s="10"/>
      <c r="E34" s="1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>
      <c r="A35" s="10"/>
      <c r="B35" s="31"/>
      <c r="C35" s="10"/>
      <c r="D35" s="10"/>
      <c r="E35" s="1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>
      <c r="A36" s="10"/>
      <c r="B36" s="31"/>
      <c r="C36" s="10"/>
      <c r="D36" s="10"/>
      <c r="E36" s="1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>
      <c r="A37" s="10"/>
      <c r="B37" s="31"/>
      <c r="C37" s="10"/>
      <c r="D37" s="10"/>
      <c r="E37" s="1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>
      <c r="A38" s="10"/>
      <c r="B38" s="31"/>
      <c r="C38" s="10"/>
      <c r="D38" s="10"/>
      <c r="E38" s="1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>
      <c r="A39" s="10"/>
      <c r="B39" s="31"/>
      <c r="C39" s="10"/>
      <c r="D39" s="10"/>
      <c r="E39" s="10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>
      <c r="A40" s="10"/>
      <c r="B40" s="31"/>
      <c r="C40" s="10"/>
      <c r="D40" s="10"/>
      <c r="E40" s="10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>
      <c r="A41" s="10"/>
      <c r="B41" s="31"/>
      <c r="C41" s="10"/>
      <c r="D41" s="10"/>
      <c r="E41" s="10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>
      <c r="A42" s="10"/>
      <c r="B42" s="31"/>
      <c r="C42" s="10"/>
      <c r="D42" s="10"/>
      <c r="E42" s="1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>
      <c r="A43" s="10"/>
      <c r="B43" s="31"/>
      <c r="C43" s="10"/>
      <c r="D43" s="10"/>
      <c r="E43" s="1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>
      <c r="A44" s="10"/>
      <c r="B44" s="31"/>
      <c r="C44" s="10"/>
      <c r="D44" s="10"/>
      <c r="E44" s="10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>
      <c r="A45" s="10"/>
      <c r="B45" s="31"/>
      <c r="C45" s="10"/>
      <c r="D45" s="10"/>
      <c r="E45" s="1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>
      <c r="A46" s="10"/>
      <c r="B46" s="31"/>
      <c r="C46" s="10"/>
      <c r="D46" s="10"/>
      <c r="E46" s="1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</sheetData>
  <mergeCells count="1">
    <mergeCell ref="A24:D24"/>
  </mergeCells>
  <dataValidations>
    <dataValidation type="list" allowBlank="1" showErrorMessage="1" sqref="C28:C46">
      <formula1>"Palet,Carrete de Madera,Carrete Plástico,Tambores 120 lts"</formula1>
    </dataValidation>
    <dataValidation type="list" allowBlank="1" showErrorMessage="1" sqref="C2:C23">
      <formula1>"AREAS PRODUCTIVAS,bod, Apd, Ácido,puntos verdes y HSEC"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32</v>
      </c>
      <c r="Q1" s="1" t="s">
        <v>33</v>
      </c>
      <c r="R1" s="2" t="s">
        <v>15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3"/>
      <c r="AG1" s="3"/>
      <c r="AH1" s="3"/>
      <c r="AI1" s="3"/>
    </row>
    <row r="2">
      <c r="A2" s="4">
        <v>216.0</v>
      </c>
      <c r="B2" s="5">
        <v>46056.0</v>
      </c>
      <c r="C2" s="6" t="s">
        <v>39</v>
      </c>
      <c r="D2" s="7" t="s">
        <v>40</v>
      </c>
      <c r="E2" s="4">
        <v>1070.0</v>
      </c>
      <c r="F2" s="8">
        <f>E2-G2-H2-I2-J2-K2</f>
        <v>1055.5</v>
      </c>
      <c r="G2" s="9">
        <v>6.5</v>
      </c>
      <c r="H2" s="9">
        <v>1.5</v>
      </c>
      <c r="I2" s="9">
        <v>6.0</v>
      </c>
      <c r="J2" s="9">
        <v>0.5</v>
      </c>
      <c r="K2" s="10"/>
      <c r="L2" s="7">
        <f t="shared" ref="L2:L21" si="1">M2*10</f>
        <v>0</v>
      </c>
      <c r="M2" s="10"/>
      <c r="N2" s="7">
        <f t="shared" ref="N2:N23" si="2">O2*20</f>
        <v>0</v>
      </c>
      <c r="O2" s="7"/>
      <c r="P2" s="7">
        <f t="shared" ref="P2:P6" si="3">(Q2*20)</f>
        <v>0</v>
      </c>
      <c r="Q2" s="7"/>
      <c r="R2" s="7">
        <f t="shared" ref="R2:R23" si="4">S2*5.5</f>
        <v>0</v>
      </c>
      <c r="S2" s="7"/>
      <c r="T2" s="7">
        <f t="shared" ref="T2:T23" si="5">U2*2.5</f>
        <v>0</v>
      </c>
      <c r="U2" s="10"/>
      <c r="V2" s="7">
        <f t="shared" ref="V2:V23" si="6">W2*0.5</f>
        <v>0</v>
      </c>
      <c r="W2" s="7"/>
      <c r="X2" s="7">
        <f t="shared" ref="X2:X23" si="7">Y2*1.4</f>
        <v>0</v>
      </c>
      <c r="Y2" s="10"/>
      <c r="Z2" s="7">
        <f t="shared" ref="Z2:Z23" si="8">AA2*1.2</f>
        <v>0</v>
      </c>
      <c r="AA2" s="10"/>
      <c r="AB2" s="7">
        <f>AC2*16</f>
        <v>0</v>
      </c>
      <c r="AC2" s="7">
        <v>0.0</v>
      </c>
      <c r="AD2" s="7">
        <f t="shared" ref="AD2:AD23" si="9">AE2*2.275</f>
        <v>0</v>
      </c>
      <c r="AE2" s="10"/>
      <c r="AF2" s="13" t="s">
        <v>42</v>
      </c>
      <c r="AG2" s="3"/>
      <c r="AH2" s="3"/>
      <c r="AI2" s="3"/>
    </row>
    <row r="3">
      <c r="A3" s="4">
        <v>215.0</v>
      </c>
      <c r="B3" s="5">
        <v>46056.0</v>
      </c>
      <c r="C3" s="6" t="s">
        <v>41</v>
      </c>
      <c r="D3" s="7" t="s">
        <v>40</v>
      </c>
      <c r="E3" s="4">
        <v>1030.0</v>
      </c>
      <c r="F3" s="8"/>
      <c r="G3" s="7"/>
      <c r="H3" s="7"/>
      <c r="I3" s="7"/>
      <c r="J3" s="7"/>
      <c r="K3" s="10"/>
      <c r="L3" s="7">
        <f t="shared" si="1"/>
        <v>0</v>
      </c>
      <c r="M3" s="10"/>
      <c r="N3" s="7">
        <f t="shared" si="2"/>
        <v>380</v>
      </c>
      <c r="O3" s="9">
        <v>19.0</v>
      </c>
      <c r="P3" s="7">
        <f t="shared" si="3"/>
        <v>0</v>
      </c>
      <c r="Q3" s="7"/>
      <c r="R3" s="7">
        <f t="shared" si="4"/>
        <v>231</v>
      </c>
      <c r="S3" s="12">
        <v>42.0</v>
      </c>
      <c r="T3" s="7">
        <f t="shared" si="5"/>
        <v>45</v>
      </c>
      <c r="U3" s="12">
        <v>18.0</v>
      </c>
      <c r="V3" s="7">
        <f t="shared" si="6"/>
        <v>68</v>
      </c>
      <c r="W3" s="12">
        <v>136.0</v>
      </c>
      <c r="X3" s="7">
        <f t="shared" si="7"/>
        <v>0</v>
      </c>
      <c r="Y3" s="10"/>
      <c r="Z3" s="7">
        <f t="shared" si="8"/>
        <v>0</v>
      </c>
      <c r="AA3" s="10"/>
      <c r="AB3" s="7">
        <v>0.0</v>
      </c>
      <c r="AC3" s="10"/>
      <c r="AD3" s="7">
        <f t="shared" si="9"/>
        <v>0</v>
      </c>
      <c r="AE3" s="10"/>
      <c r="AF3" s="3"/>
      <c r="AG3" s="3"/>
      <c r="AH3" s="3"/>
      <c r="AI3" s="3"/>
    </row>
    <row r="4">
      <c r="A4" s="23">
        <v>219.0</v>
      </c>
      <c r="B4" s="25">
        <v>46058.0</v>
      </c>
      <c r="C4" s="6" t="s">
        <v>41</v>
      </c>
      <c r="D4" s="7" t="s">
        <v>40</v>
      </c>
      <c r="E4" s="23">
        <v>750.0</v>
      </c>
      <c r="F4" s="8"/>
      <c r="G4" s="12"/>
      <c r="H4" s="12"/>
      <c r="I4" s="12"/>
      <c r="J4" s="12"/>
      <c r="K4" s="12"/>
      <c r="L4" s="7">
        <f t="shared" si="1"/>
        <v>0</v>
      </c>
      <c r="M4" s="10"/>
      <c r="N4" s="7">
        <f t="shared" si="2"/>
        <v>340</v>
      </c>
      <c r="O4" s="4">
        <v>17.0</v>
      </c>
      <c r="P4" s="7">
        <f t="shared" si="3"/>
        <v>0</v>
      </c>
      <c r="Q4" s="7"/>
      <c r="R4" s="7">
        <f t="shared" si="4"/>
        <v>0</v>
      </c>
      <c r="S4" s="7"/>
      <c r="T4" s="7">
        <f t="shared" si="5"/>
        <v>100</v>
      </c>
      <c r="U4" s="4">
        <v>40.0</v>
      </c>
      <c r="V4" s="7">
        <f t="shared" si="6"/>
        <v>0</v>
      </c>
      <c r="W4" s="7"/>
      <c r="X4" s="7">
        <f t="shared" si="7"/>
        <v>0</v>
      </c>
      <c r="Y4" s="10"/>
      <c r="Z4" s="7">
        <f t="shared" si="8"/>
        <v>0</v>
      </c>
      <c r="AA4" s="10"/>
      <c r="AB4" s="7">
        <f t="shared" ref="AB4:AB23" si="10">AC4*16</f>
        <v>0</v>
      </c>
      <c r="AC4" s="10"/>
      <c r="AD4" s="7">
        <f t="shared" si="9"/>
        <v>0</v>
      </c>
      <c r="AE4" s="10"/>
      <c r="AF4" s="3"/>
      <c r="AG4" s="3"/>
      <c r="AH4" s="3"/>
      <c r="AI4" s="3"/>
    </row>
    <row r="5">
      <c r="A5" s="23">
        <v>221.0</v>
      </c>
      <c r="B5" s="25">
        <v>46058.0</v>
      </c>
      <c r="C5" s="24" t="s">
        <v>41</v>
      </c>
      <c r="D5" s="7" t="s">
        <v>40</v>
      </c>
      <c r="E5" s="23">
        <v>730.0</v>
      </c>
      <c r="F5" s="8"/>
      <c r="G5" s="10"/>
      <c r="H5" s="10"/>
      <c r="I5" s="10"/>
      <c r="J5" s="10"/>
      <c r="K5" s="10"/>
      <c r="L5" s="7">
        <f t="shared" si="1"/>
        <v>0</v>
      </c>
      <c r="M5" s="12"/>
      <c r="N5" s="7">
        <f t="shared" si="2"/>
        <v>80</v>
      </c>
      <c r="O5" s="23">
        <v>4.0</v>
      </c>
      <c r="P5" s="7">
        <f t="shared" si="3"/>
        <v>640</v>
      </c>
      <c r="Q5" s="4">
        <v>32.0</v>
      </c>
      <c r="R5" s="7">
        <f t="shared" si="4"/>
        <v>0</v>
      </c>
      <c r="S5" s="12"/>
      <c r="T5" s="7">
        <f t="shared" si="5"/>
        <v>0</v>
      </c>
      <c r="U5" s="12"/>
      <c r="V5" s="7">
        <f t="shared" si="6"/>
        <v>0</v>
      </c>
      <c r="W5" s="12"/>
      <c r="X5" s="7">
        <f t="shared" si="7"/>
        <v>0</v>
      </c>
      <c r="Y5" s="10"/>
      <c r="Z5" s="7">
        <f t="shared" si="8"/>
        <v>0</v>
      </c>
      <c r="AA5" s="10"/>
      <c r="AB5" s="7">
        <f t="shared" si="10"/>
        <v>0</v>
      </c>
      <c r="AC5" s="10"/>
      <c r="AD5" s="7">
        <f t="shared" si="9"/>
        <v>0</v>
      </c>
      <c r="AE5" s="10"/>
      <c r="AF5" s="3"/>
      <c r="AG5" s="3"/>
      <c r="AH5" s="3"/>
      <c r="AI5" s="3"/>
    </row>
    <row r="6">
      <c r="A6" s="23">
        <v>222.0</v>
      </c>
      <c r="B6" s="25">
        <v>46059.0</v>
      </c>
      <c r="C6" s="6" t="s">
        <v>39</v>
      </c>
      <c r="D6" s="7" t="s">
        <v>40</v>
      </c>
      <c r="E6" s="23">
        <v>820.0</v>
      </c>
      <c r="F6" s="8">
        <f>E6-G6-H6-I6-J6-K6</f>
        <v>780.7</v>
      </c>
      <c r="G6" s="9">
        <v>23.5</v>
      </c>
      <c r="H6" s="4">
        <v>4.0</v>
      </c>
      <c r="I6" s="4">
        <v>6.5</v>
      </c>
      <c r="J6" s="4">
        <v>0.3</v>
      </c>
      <c r="K6" s="9">
        <v>5.0</v>
      </c>
      <c r="L6" s="7">
        <f t="shared" si="1"/>
        <v>0</v>
      </c>
      <c r="M6" s="10"/>
      <c r="N6" s="7">
        <f t="shared" si="2"/>
        <v>0</v>
      </c>
      <c r="O6" s="12"/>
      <c r="P6" s="7">
        <f t="shared" si="3"/>
        <v>0</v>
      </c>
      <c r="Q6" s="7"/>
      <c r="R6" s="7">
        <f t="shared" si="4"/>
        <v>0</v>
      </c>
      <c r="S6" s="10"/>
      <c r="T6" s="7">
        <f t="shared" si="5"/>
        <v>0</v>
      </c>
      <c r="U6" s="10"/>
      <c r="V6" s="7">
        <f t="shared" si="6"/>
        <v>0</v>
      </c>
      <c r="W6" s="10"/>
      <c r="X6" s="7">
        <f t="shared" si="7"/>
        <v>0</v>
      </c>
      <c r="Y6" s="10"/>
      <c r="Z6" s="7">
        <f t="shared" si="8"/>
        <v>0</v>
      </c>
      <c r="AA6" s="10"/>
      <c r="AB6" s="7">
        <f t="shared" si="10"/>
        <v>0</v>
      </c>
      <c r="AC6" s="10"/>
      <c r="AD6" s="7">
        <f t="shared" si="9"/>
        <v>0</v>
      </c>
      <c r="AE6" s="10"/>
      <c r="AF6" s="3"/>
      <c r="AG6" s="3"/>
      <c r="AH6" s="3"/>
      <c r="AI6" s="3"/>
    </row>
    <row r="7">
      <c r="A7" s="23">
        <v>224.0</v>
      </c>
      <c r="B7" s="25">
        <v>46063.0</v>
      </c>
      <c r="C7" s="6" t="s">
        <v>41</v>
      </c>
      <c r="D7" s="7" t="s">
        <v>40</v>
      </c>
      <c r="E7" s="23">
        <v>770.0</v>
      </c>
      <c r="F7" s="8"/>
      <c r="G7" s="26"/>
      <c r="H7" s="12"/>
      <c r="I7" s="12"/>
      <c r="J7" s="12"/>
      <c r="K7" s="12"/>
      <c r="L7" s="7">
        <f t="shared" si="1"/>
        <v>0</v>
      </c>
      <c r="M7" s="10"/>
      <c r="N7" s="7">
        <f t="shared" si="2"/>
        <v>400</v>
      </c>
      <c r="O7" s="4">
        <v>20.0</v>
      </c>
      <c r="P7" s="4" t="s">
        <v>43</v>
      </c>
      <c r="Q7" s="7"/>
      <c r="R7" s="7">
        <f t="shared" si="4"/>
        <v>0</v>
      </c>
      <c r="S7" s="7"/>
      <c r="T7" s="7">
        <f t="shared" si="5"/>
        <v>35</v>
      </c>
      <c r="U7" s="4">
        <v>14.0</v>
      </c>
      <c r="V7" s="7">
        <f t="shared" si="6"/>
        <v>83.5</v>
      </c>
      <c r="W7" s="4">
        <v>167.0</v>
      </c>
      <c r="X7" s="7">
        <f t="shared" si="7"/>
        <v>0</v>
      </c>
      <c r="Y7" s="10"/>
      <c r="Z7" s="7">
        <f t="shared" si="8"/>
        <v>0</v>
      </c>
      <c r="AA7" s="10"/>
      <c r="AB7" s="7">
        <f t="shared" si="10"/>
        <v>0</v>
      </c>
      <c r="AC7" s="10"/>
      <c r="AD7" s="7">
        <f t="shared" si="9"/>
        <v>0</v>
      </c>
      <c r="AE7" s="10"/>
      <c r="AF7" s="3"/>
      <c r="AG7" s="3"/>
      <c r="AH7" s="3"/>
      <c r="AI7" s="3"/>
    </row>
    <row r="8">
      <c r="A8" s="23">
        <v>225.0</v>
      </c>
      <c r="B8" s="25">
        <v>46063.0</v>
      </c>
      <c r="C8" s="6" t="s">
        <v>39</v>
      </c>
      <c r="D8" s="7" t="s">
        <v>40</v>
      </c>
      <c r="E8" s="23">
        <v>1020.0</v>
      </c>
      <c r="F8" s="8">
        <f>E8-G8-H8-I8-J8-K8</f>
        <v>921.8</v>
      </c>
      <c r="G8" s="4">
        <v>2.5</v>
      </c>
      <c r="H8" s="4">
        <v>1.5</v>
      </c>
      <c r="I8" s="4">
        <v>90.0</v>
      </c>
      <c r="J8" s="4">
        <v>0.2</v>
      </c>
      <c r="K8" s="4">
        <v>4.0</v>
      </c>
      <c r="L8" s="7">
        <f t="shared" si="1"/>
        <v>0</v>
      </c>
      <c r="M8" s="10"/>
      <c r="N8" s="7">
        <f t="shared" si="2"/>
        <v>0</v>
      </c>
      <c r="O8" s="12"/>
      <c r="P8" s="7">
        <f t="shared" ref="P8:P23" si="11">(Q8*20)</f>
        <v>0</v>
      </c>
      <c r="Q8" s="7"/>
      <c r="R8" s="7">
        <f t="shared" si="4"/>
        <v>0</v>
      </c>
      <c r="S8" s="12"/>
      <c r="T8" s="7">
        <f t="shared" si="5"/>
        <v>0</v>
      </c>
      <c r="U8" s="12"/>
      <c r="V8" s="7">
        <f t="shared" si="6"/>
        <v>0</v>
      </c>
      <c r="W8" s="12"/>
      <c r="X8" s="7">
        <f t="shared" si="7"/>
        <v>0</v>
      </c>
      <c r="Y8" s="10"/>
      <c r="Z8" s="7">
        <f t="shared" si="8"/>
        <v>0</v>
      </c>
      <c r="AA8" s="10"/>
      <c r="AB8" s="7">
        <f t="shared" si="10"/>
        <v>0</v>
      </c>
      <c r="AC8" s="10"/>
      <c r="AD8" s="7">
        <f t="shared" si="9"/>
        <v>0</v>
      </c>
      <c r="AE8" s="10"/>
      <c r="AF8" s="3"/>
      <c r="AG8" s="3"/>
      <c r="AH8" s="3"/>
      <c r="AI8" s="3"/>
    </row>
    <row r="9">
      <c r="A9" s="23">
        <v>227.0</v>
      </c>
      <c r="B9" s="25">
        <v>46065.0</v>
      </c>
      <c r="C9" s="6" t="s">
        <v>41</v>
      </c>
      <c r="D9" s="7" t="s">
        <v>40</v>
      </c>
      <c r="E9" s="23">
        <v>910.0</v>
      </c>
      <c r="F9" s="8"/>
      <c r="G9" s="12"/>
      <c r="H9" s="12"/>
      <c r="I9" s="12"/>
      <c r="J9" s="12"/>
      <c r="K9" s="12"/>
      <c r="L9" s="7">
        <f t="shared" si="1"/>
        <v>0</v>
      </c>
      <c r="M9" s="10"/>
      <c r="N9" s="7">
        <f t="shared" si="2"/>
        <v>200</v>
      </c>
      <c r="O9" s="4">
        <v>10.0</v>
      </c>
      <c r="P9" s="7">
        <f t="shared" si="11"/>
        <v>0</v>
      </c>
      <c r="Q9" s="7"/>
      <c r="R9" s="7">
        <f t="shared" si="4"/>
        <v>0</v>
      </c>
      <c r="S9" s="7"/>
      <c r="T9" s="7">
        <f t="shared" si="5"/>
        <v>0</v>
      </c>
      <c r="U9" s="10"/>
      <c r="V9" s="7">
        <f t="shared" si="6"/>
        <v>43</v>
      </c>
      <c r="W9" s="9">
        <v>86.0</v>
      </c>
      <c r="X9" s="7">
        <f t="shared" si="7"/>
        <v>0</v>
      </c>
      <c r="Y9" s="10"/>
      <c r="Z9" s="7">
        <f t="shared" si="8"/>
        <v>0</v>
      </c>
      <c r="AA9" s="10"/>
      <c r="AB9" s="7">
        <f t="shared" si="10"/>
        <v>0</v>
      </c>
      <c r="AC9" s="10"/>
      <c r="AD9" s="7">
        <f t="shared" si="9"/>
        <v>0</v>
      </c>
      <c r="AE9" s="10"/>
      <c r="AF9" s="3"/>
      <c r="AG9" s="3"/>
      <c r="AH9" s="3"/>
      <c r="AI9" s="3"/>
    </row>
    <row r="10">
      <c r="A10" s="23">
        <v>228.0</v>
      </c>
      <c r="B10" s="25">
        <v>46065.0</v>
      </c>
      <c r="C10" s="24" t="s">
        <v>41</v>
      </c>
      <c r="D10" s="7" t="s">
        <v>40</v>
      </c>
      <c r="E10" s="23">
        <v>910.0</v>
      </c>
      <c r="F10" s="10"/>
      <c r="G10" s="10"/>
      <c r="H10" s="9" t="s">
        <v>44</v>
      </c>
      <c r="I10" s="10"/>
      <c r="J10" s="10"/>
      <c r="K10" s="10"/>
      <c r="L10" s="7">
        <f t="shared" si="1"/>
        <v>0</v>
      </c>
      <c r="M10" s="10"/>
      <c r="N10" s="7">
        <f t="shared" si="2"/>
        <v>320</v>
      </c>
      <c r="O10" s="23">
        <v>16.0</v>
      </c>
      <c r="P10" s="7">
        <f t="shared" si="11"/>
        <v>580</v>
      </c>
      <c r="Q10" s="4">
        <v>29.0</v>
      </c>
      <c r="R10" s="7">
        <f t="shared" si="4"/>
        <v>0</v>
      </c>
      <c r="S10" s="10"/>
      <c r="T10" s="7">
        <f t="shared" si="5"/>
        <v>0</v>
      </c>
      <c r="U10" s="10"/>
      <c r="V10" s="7">
        <f t="shared" si="6"/>
        <v>0</v>
      </c>
      <c r="W10" s="10"/>
      <c r="X10" s="7">
        <f t="shared" si="7"/>
        <v>0</v>
      </c>
      <c r="Y10" s="10"/>
      <c r="Z10" s="7">
        <f t="shared" si="8"/>
        <v>0</v>
      </c>
      <c r="AA10" s="10"/>
      <c r="AB10" s="7">
        <f t="shared" si="10"/>
        <v>0</v>
      </c>
      <c r="AC10" s="10"/>
      <c r="AD10" s="7">
        <f t="shared" si="9"/>
        <v>0</v>
      </c>
      <c r="AE10" s="10"/>
      <c r="AF10" s="3"/>
      <c r="AG10" s="3"/>
      <c r="AH10" s="3"/>
      <c r="AI10" s="3"/>
    </row>
    <row r="11">
      <c r="A11" s="23">
        <v>230.0</v>
      </c>
      <c r="B11" s="25">
        <v>46066.0</v>
      </c>
      <c r="C11" s="6" t="s">
        <v>39</v>
      </c>
      <c r="D11" s="7" t="s">
        <v>40</v>
      </c>
      <c r="E11" s="23">
        <v>670.0</v>
      </c>
      <c r="F11" s="8">
        <f>E11-G11-H11-I11-J11-K11</f>
        <v>637</v>
      </c>
      <c r="G11" s="23">
        <v>4.0</v>
      </c>
      <c r="H11" s="23">
        <v>1.0</v>
      </c>
      <c r="I11" s="23">
        <v>21.5</v>
      </c>
      <c r="J11" s="23">
        <v>0.5</v>
      </c>
      <c r="K11" s="9">
        <v>6.0</v>
      </c>
      <c r="L11" s="7">
        <f t="shared" si="1"/>
        <v>0</v>
      </c>
      <c r="M11" s="10"/>
      <c r="N11" s="7">
        <f t="shared" si="2"/>
        <v>0</v>
      </c>
      <c r="O11" s="12"/>
      <c r="P11" s="7">
        <f t="shared" si="11"/>
        <v>0</v>
      </c>
      <c r="Q11" s="7"/>
      <c r="R11" s="7">
        <f t="shared" si="4"/>
        <v>0</v>
      </c>
      <c r="S11" s="10"/>
      <c r="T11" s="7">
        <f t="shared" si="5"/>
        <v>0</v>
      </c>
      <c r="U11" s="9"/>
      <c r="V11" s="7">
        <f t="shared" si="6"/>
        <v>0</v>
      </c>
      <c r="W11" s="9"/>
      <c r="X11" s="7">
        <f t="shared" si="7"/>
        <v>0</v>
      </c>
      <c r="Y11" s="10"/>
      <c r="Z11" s="7">
        <f t="shared" si="8"/>
        <v>0</v>
      </c>
      <c r="AA11" s="10"/>
      <c r="AB11" s="7">
        <f t="shared" si="10"/>
        <v>0</v>
      </c>
      <c r="AC11" s="10"/>
      <c r="AD11" s="7">
        <f t="shared" si="9"/>
        <v>0</v>
      </c>
      <c r="AE11" s="10"/>
      <c r="AF11" s="3"/>
      <c r="AG11" s="3"/>
      <c r="AH11" s="3"/>
      <c r="AI11" s="3"/>
    </row>
    <row r="12" ht="16.5" customHeight="1">
      <c r="A12" s="23">
        <v>232.0</v>
      </c>
      <c r="B12" s="25">
        <v>46070.0</v>
      </c>
      <c r="C12" s="6" t="s">
        <v>41</v>
      </c>
      <c r="D12" s="7" t="s">
        <v>40</v>
      </c>
      <c r="E12" s="23">
        <v>1010.0</v>
      </c>
      <c r="F12" s="8"/>
      <c r="G12" s="26"/>
      <c r="H12" s="12"/>
      <c r="I12" s="12"/>
      <c r="J12" s="10"/>
      <c r="K12" s="10"/>
      <c r="L12" s="7">
        <f t="shared" si="1"/>
        <v>0</v>
      </c>
      <c r="M12" s="10"/>
      <c r="N12" s="7">
        <f t="shared" si="2"/>
        <v>500</v>
      </c>
      <c r="O12" s="23">
        <v>25.0</v>
      </c>
      <c r="P12" s="7">
        <f t="shared" si="11"/>
        <v>0</v>
      </c>
      <c r="Q12" s="7"/>
      <c r="R12" s="7">
        <f t="shared" si="4"/>
        <v>247.5</v>
      </c>
      <c r="S12" s="23">
        <v>45.0</v>
      </c>
      <c r="T12" s="7">
        <f t="shared" si="5"/>
        <v>15</v>
      </c>
      <c r="U12" s="23">
        <v>6.0</v>
      </c>
      <c r="V12" s="7">
        <f t="shared" si="6"/>
        <v>92</v>
      </c>
      <c r="W12" s="23">
        <v>184.0</v>
      </c>
      <c r="X12" s="7">
        <f t="shared" si="7"/>
        <v>0</v>
      </c>
      <c r="Y12" s="10"/>
      <c r="Z12" s="7">
        <f t="shared" si="8"/>
        <v>0</v>
      </c>
      <c r="AA12" s="10"/>
      <c r="AB12" s="7">
        <f t="shared" si="10"/>
        <v>0</v>
      </c>
      <c r="AC12" s="10"/>
      <c r="AD12" s="7">
        <f t="shared" si="9"/>
        <v>0</v>
      </c>
      <c r="AE12" s="10"/>
      <c r="AF12" s="3"/>
      <c r="AG12" s="3"/>
      <c r="AH12" s="3"/>
      <c r="AI12" s="3"/>
    </row>
    <row r="13">
      <c r="A13" s="23">
        <v>233.0</v>
      </c>
      <c r="B13" s="25">
        <v>46070.0</v>
      </c>
      <c r="C13" s="6" t="s">
        <v>39</v>
      </c>
      <c r="D13" s="7" t="s">
        <v>40</v>
      </c>
      <c r="E13" s="23">
        <v>525.0</v>
      </c>
      <c r="F13" s="8">
        <f>E13-G13-H13-I13</f>
        <v>510</v>
      </c>
      <c r="G13" s="23">
        <v>1.0</v>
      </c>
      <c r="H13" s="23">
        <v>1.5</v>
      </c>
      <c r="I13" s="23">
        <v>12.5</v>
      </c>
      <c r="J13" s="10"/>
      <c r="K13" s="10"/>
      <c r="L13" s="7">
        <f t="shared" si="1"/>
        <v>0</v>
      </c>
      <c r="M13" s="10"/>
      <c r="N13" s="7">
        <f t="shared" si="2"/>
        <v>0</v>
      </c>
      <c r="O13" s="12"/>
      <c r="P13" s="7">
        <f t="shared" si="11"/>
        <v>0</v>
      </c>
      <c r="Q13" s="7"/>
      <c r="R13" s="7">
        <f t="shared" si="4"/>
        <v>0</v>
      </c>
      <c r="S13" s="12"/>
      <c r="T13" s="7">
        <f t="shared" si="5"/>
        <v>0</v>
      </c>
      <c r="U13" s="10"/>
      <c r="V13" s="7">
        <f t="shared" si="6"/>
        <v>0</v>
      </c>
      <c r="W13" s="12"/>
      <c r="X13" s="7">
        <f t="shared" si="7"/>
        <v>0</v>
      </c>
      <c r="Y13" s="10"/>
      <c r="Z13" s="7">
        <f t="shared" si="8"/>
        <v>0</v>
      </c>
      <c r="AA13" s="10"/>
      <c r="AB13" s="7">
        <f t="shared" si="10"/>
        <v>0</v>
      </c>
      <c r="AC13" s="10"/>
      <c r="AD13" s="7">
        <f t="shared" si="9"/>
        <v>0</v>
      </c>
      <c r="AE13" s="10"/>
      <c r="AF13" s="3"/>
      <c r="AG13" s="3"/>
      <c r="AH13" s="3"/>
      <c r="AI13" s="3"/>
    </row>
    <row r="14">
      <c r="A14" s="23">
        <v>235.0</v>
      </c>
      <c r="B14" s="25">
        <v>46072.0</v>
      </c>
      <c r="C14" s="6" t="s">
        <v>41</v>
      </c>
      <c r="D14" s="7" t="s">
        <v>40</v>
      </c>
      <c r="E14" s="23">
        <v>950.0</v>
      </c>
      <c r="F14" s="8"/>
      <c r="G14" s="12"/>
      <c r="H14" s="12"/>
      <c r="I14" s="12"/>
      <c r="J14" s="12"/>
      <c r="K14" s="10"/>
      <c r="L14" s="7">
        <f t="shared" si="1"/>
        <v>0</v>
      </c>
      <c r="M14" s="10"/>
      <c r="N14" s="7">
        <f t="shared" si="2"/>
        <v>600</v>
      </c>
      <c r="O14" s="4">
        <v>30.0</v>
      </c>
      <c r="P14" s="7">
        <f t="shared" si="11"/>
        <v>340</v>
      </c>
      <c r="Q14" s="4">
        <v>17.0</v>
      </c>
      <c r="R14" s="7">
        <f t="shared" si="4"/>
        <v>0</v>
      </c>
      <c r="S14" s="7"/>
      <c r="T14" s="7">
        <f t="shared" si="5"/>
        <v>0</v>
      </c>
      <c r="U14" s="7"/>
      <c r="V14" s="7">
        <f t="shared" si="6"/>
        <v>0</v>
      </c>
      <c r="W14" s="10"/>
      <c r="X14" s="7">
        <f t="shared" si="7"/>
        <v>0</v>
      </c>
      <c r="Y14" s="10"/>
      <c r="Z14" s="7">
        <f t="shared" si="8"/>
        <v>0</v>
      </c>
      <c r="AA14" s="10"/>
      <c r="AB14" s="7">
        <f t="shared" si="10"/>
        <v>0</v>
      </c>
      <c r="AC14" s="10"/>
      <c r="AD14" s="7">
        <f t="shared" si="9"/>
        <v>0</v>
      </c>
      <c r="AE14" s="10"/>
      <c r="AF14" s="3"/>
      <c r="AG14" s="3"/>
      <c r="AH14" s="3"/>
      <c r="AI14" s="3"/>
    </row>
    <row r="15" ht="15.75" customHeight="1">
      <c r="A15" s="23">
        <v>236.0</v>
      </c>
      <c r="B15" s="25">
        <v>46072.0</v>
      </c>
      <c r="C15" s="24" t="s">
        <v>41</v>
      </c>
      <c r="D15" s="7" t="s">
        <v>40</v>
      </c>
      <c r="E15" s="23">
        <v>930.0</v>
      </c>
      <c r="F15" s="10"/>
      <c r="G15" s="10"/>
      <c r="H15" s="10"/>
      <c r="I15" s="10"/>
      <c r="J15" s="10"/>
      <c r="K15" s="10"/>
      <c r="L15" s="7">
        <f t="shared" si="1"/>
        <v>0</v>
      </c>
      <c r="M15" s="10"/>
      <c r="N15" s="7">
        <f t="shared" si="2"/>
        <v>240</v>
      </c>
      <c r="O15" s="12">
        <v>12.0</v>
      </c>
      <c r="P15" s="7">
        <f t="shared" si="11"/>
        <v>680</v>
      </c>
      <c r="Q15" s="4">
        <v>34.0</v>
      </c>
      <c r="R15" s="7">
        <f t="shared" si="4"/>
        <v>0</v>
      </c>
      <c r="S15" s="10"/>
      <c r="T15" s="7">
        <f t="shared" si="5"/>
        <v>0</v>
      </c>
      <c r="U15" s="10"/>
      <c r="V15" s="7">
        <f t="shared" si="6"/>
        <v>0</v>
      </c>
      <c r="W15" s="10"/>
      <c r="X15" s="7">
        <f t="shared" si="7"/>
        <v>0</v>
      </c>
      <c r="Y15" s="10"/>
      <c r="Z15" s="7">
        <f t="shared" si="8"/>
        <v>0</v>
      </c>
      <c r="AA15" s="10"/>
      <c r="AB15" s="7">
        <f t="shared" si="10"/>
        <v>0</v>
      </c>
      <c r="AC15" s="10"/>
      <c r="AD15" s="7">
        <f t="shared" si="9"/>
        <v>0</v>
      </c>
      <c r="AE15" s="10"/>
      <c r="AF15" s="3"/>
      <c r="AG15" s="3"/>
      <c r="AH15" s="3"/>
      <c r="AI15" s="3"/>
    </row>
    <row r="16">
      <c r="A16" s="23">
        <v>238.0</v>
      </c>
      <c r="B16" s="25">
        <v>46073.0</v>
      </c>
      <c r="C16" s="6" t="s">
        <v>39</v>
      </c>
      <c r="D16" s="7" t="s">
        <v>40</v>
      </c>
      <c r="E16" s="23">
        <v>400.0</v>
      </c>
      <c r="F16" s="8">
        <f>E16-G16-H16-I16-J16</f>
        <v>358</v>
      </c>
      <c r="G16" s="23">
        <v>12.0</v>
      </c>
      <c r="H16" s="23">
        <v>5.0</v>
      </c>
      <c r="I16" s="23">
        <v>24.0</v>
      </c>
      <c r="J16" s="9">
        <v>1.0</v>
      </c>
      <c r="K16" s="10"/>
      <c r="L16" s="7">
        <f t="shared" si="1"/>
        <v>0</v>
      </c>
      <c r="M16" s="10"/>
      <c r="N16" s="7">
        <f t="shared" si="2"/>
        <v>0</v>
      </c>
      <c r="O16" s="12"/>
      <c r="P16" s="7">
        <f t="shared" si="11"/>
        <v>0</v>
      </c>
      <c r="Q16" s="7"/>
      <c r="R16" s="7">
        <f t="shared" si="4"/>
        <v>0</v>
      </c>
      <c r="S16" s="10"/>
      <c r="T16" s="7">
        <f t="shared" si="5"/>
        <v>0</v>
      </c>
      <c r="U16" s="10"/>
      <c r="V16" s="7">
        <f t="shared" si="6"/>
        <v>0</v>
      </c>
      <c r="W16" s="10"/>
      <c r="X16" s="7">
        <f t="shared" si="7"/>
        <v>0</v>
      </c>
      <c r="Y16" s="10"/>
      <c r="Z16" s="7">
        <f t="shared" si="8"/>
        <v>0</v>
      </c>
      <c r="AA16" s="10"/>
      <c r="AB16" s="7">
        <f t="shared" si="10"/>
        <v>0</v>
      </c>
      <c r="AC16" s="10"/>
      <c r="AD16" s="7">
        <f t="shared" si="9"/>
        <v>0</v>
      </c>
      <c r="AE16" s="10"/>
      <c r="AF16" s="3"/>
      <c r="AG16" s="3"/>
      <c r="AH16" s="3"/>
      <c r="AI16" s="3"/>
    </row>
    <row r="17">
      <c r="A17" s="23">
        <v>240.0</v>
      </c>
      <c r="B17" s="25">
        <v>46077.0</v>
      </c>
      <c r="C17" s="6" t="s">
        <v>41</v>
      </c>
      <c r="D17" s="7" t="s">
        <v>40</v>
      </c>
      <c r="E17" s="23">
        <v>910.0</v>
      </c>
      <c r="F17" s="30">
        <v>0.0</v>
      </c>
      <c r="G17" s="12"/>
      <c r="H17" s="12"/>
      <c r="I17" s="12"/>
      <c r="J17" s="12"/>
      <c r="K17" s="12"/>
      <c r="L17" s="7">
        <f t="shared" si="1"/>
        <v>0</v>
      </c>
      <c r="M17" s="10"/>
      <c r="N17" s="7">
        <f t="shared" si="2"/>
        <v>500</v>
      </c>
      <c r="O17" s="23">
        <v>25.0</v>
      </c>
      <c r="P17" s="7">
        <f t="shared" si="11"/>
        <v>0</v>
      </c>
      <c r="Q17" s="7"/>
      <c r="R17" s="7">
        <f t="shared" si="4"/>
        <v>55</v>
      </c>
      <c r="S17" s="9">
        <v>10.0</v>
      </c>
      <c r="T17" s="7">
        <f t="shared" si="5"/>
        <v>30</v>
      </c>
      <c r="U17" s="23">
        <v>12.0</v>
      </c>
      <c r="V17" s="7">
        <f t="shared" si="6"/>
        <v>94.5</v>
      </c>
      <c r="W17" s="23">
        <v>189.0</v>
      </c>
      <c r="X17" s="7">
        <f t="shared" si="7"/>
        <v>0</v>
      </c>
      <c r="Y17" s="10"/>
      <c r="Z17" s="7">
        <f t="shared" si="8"/>
        <v>0</v>
      </c>
      <c r="AA17" s="10"/>
      <c r="AB17" s="7">
        <f t="shared" si="10"/>
        <v>0</v>
      </c>
      <c r="AC17" s="10"/>
      <c r="AD17" s="7">
        <f t="shared" si="9"/>
        <v>0</v>
      </c>
      <c r="AE17" s="10"/>
      <c r="AF17" s="3"/>
      <c r="AG17" s="3"/>
      <c r="AH17" s="3"/>
      <c r="AI17" s="3"/>
    </row>
    <row r="18">
      <c r="A18" s="23">
        <v>241.0</v>
      </c>
      <c r="B18" s="25">
        <v>46077.0</v>
      </c>
      <c r="C18" s="6" t="s">
        <v>39</v>
      </c>
      <c r="D18" s="7" t="s">
        <v>40</v>
      </c>
      <c r="E18" s="23">
        <v>580.0</v>
      </c>
      <c r="F18" s="8">
        <f>E18-G18-H18-I18-J18-K18</f>
        <v>532.8</v>
      </c>
      <c r="G18" s="23">
        <v>2.0</v>
      </c>
      <c r="H18" s="23">
        <v>16.0</v>
      </c>
      <c r="I18" s="23">
        <v>21.0</v>
      </c>
      <c r="J18" s="23">
        <v>0.2</v>
      </c>
      <c r="K18" s="9">
        <v>8.0</v>
      </c>
      <c r="L18" s="7">
        <f t="shared" si="1"/>
        <v>0</v>
      </c>
      <c r="M18" s="10"/>
      <c r="N18" s="7">
        <f t="shared" si="2"/>
        <v>0</v>
      </c>
      <c r="O18" s="12"/>
      <c r="P18" s="7">
        <f t="shared" si="11"/>
        <v>0</v>
      </c>
      <c r="Q18" s="7"/>
      <c r="R18" s="7">
        <f t="shared" si="4"/>
        <v>0</v>
      </c>
      <c r="S18" s="10"/>
      <c r="T18" s="7">
        <f t="shared" si="5"/>
        <v>0</v>
      </c>
      <c r="U18" s="12"/>
      <c r="V18" s="7">
        <f t="shared" si="6"/>
        <v>0</v>
      </c>
      <c r="W18" s="12"/>
      <c r="X18" s="7">
        <f t="shared" si="7"/>
        <v>0</v>
      </c>
      <c r="Y18" s="10"/>
      <c r="Z18" s="7">
        <f t="shared" si="8"/>
        <v>0</v>
      </c>
      <c r="AA18" s="10"/>
      <c r="AB18" s="7">
        <f t="shared" si="10"/>
        <v>0</v>
      </c>
      <c r="AC18" s="10"/>
      <c r="AD18" s="7">
        <f t="shared" si="9"/>
        <v>0</v>
      </c>
      <c r="AE18" s="10"/>
      <c r="AF18" s="3"/>
      <c r="AG18" s="3"/>
      <c r="AH18" s="3"/>
      <c r="AI18" s="3"/>
    </row>
    <row r="19">
      <c r="A19" s="23">
        <v>243.0</v>
      </c>
      <c r="B19" s="25">
        <v>46079.0</v>
      </c>
      <c r="C19" s="6" t="s">
        <v>41</v>
      </c>
      <c r="D19" s="7" t="s">
        <v>40</v>
      </c>
      <c r="E19" s="23">
        <v>700.0</v>
      </c>
      <c r="F19" s="8"/>
      <c r="G19" s="12"/>
      <c r="H19" s="12"/>
      <c r="I19" s="12"/>
      <c r="J19" s="12"/>
      <c r="K19" s="12"/>
      <c r="L19" s="7">
        <f t="shared" si="1"/>
        <v>0</v>
      </c>
      <c r="M19" s="10"/>
      <c r="N19" s="7">
        <f t="shared" si="2"/>
        <v>200</v>
      </c>
      <c r="O19" s="23">
        <v>10.0</v>
      </c>
      <c r="P19" s="7">
        <f t="shared" si="11"/>
        <v>480</v>
      </c>
      <c r="Q19" s="4">
        <v>24.0</v>
      </c>
      <c r="R19" s="7">
        <f t="shared" si="4"/>
        <v>0</v>
      </c>
      <c r="S19" s="28"/>
      <c r="T19" s="7">
        <f t="shared" si="5"/>
        <v>0</v>
      </c>
      <c r="U19" s="7"/>
      <c r="V19" s="7">
        <f t="shared" si="6"/>
        <v>13</v>
      </c>
      <c r="W19" s="4">
        <v>26.0</v>
      </c>
      <c r="X19" s="7">
        <f t="shared" si="7"/>
        <v>7</v>
      </c>
      <c r="Y19" s="9">
        <v>5.0</v>
      </c>
      <c r="Z19" s="7">
        <f t="shared" si="8"/>
        <v>0</v>
      </c>
      <c r="AA19" s="10"/>
      <c r="AB19" s="7">
        <f t="shared" si="10"/>
        <v>0</v>
      </c>
      <c r="AC19" s="10"/>
      <c r="AD19" s="7">
        <f t="shared" si="9"/>
        <v>0</v>
      </c>
      <c r="AE19" s="10"/>
      <c r="AF19" s="3"/>
      <c r="AG19" s="3"/>
      <c r="AH19" s="3"/>
      <c r="AI19" s="3"/>
    </row>
    <row r="20">
      <c r="A20" s="23">
        <v>244.0</v>
      </c>
      <c r="B20" s="25">
        <v>46079.0</v>
      </c>
      <c r="C20" s="24" t="s">
        <v>41</v>
      </c>
      <c r="D20" s="7" t="s">
        <v>40</v>
      </c>
      <c r="E20" s="23">
        <v>900.0</v>
      </c>
      <c r="F20" s="8"/>
      <c r="G20" s="10"/>
      <c r="H20" s="10"/>
      <c r="I20" s="10"/>
      <c r="J20" s="10"/>
      <c r="K20" s="10"/>
      <c r="L20" s="7">
        <f t="shared" si="1"/>
        <v>0</v>
      </c>
      <c r="M20" s="10"/>
      <c r="N20" s="7">
        <f t="shared" si="2"/>
        <v>240</v>
      </c>
      <c r="O20" s="12">
        <v>12.0</v>
      </c>
      <c r="P20" s="7">
        <f t="shared" si="11"/>
        <v>600</v>
      </c>
      <c r="Q20" s="4">
        <v>30.0</v>
      </c>
      <c r="R20" s="7">
        <f t="shared" si="4"/>
        <v>0</v>
      </c>
      <c r="S20" s="12"/>
      <c r="T20" s="7">
        <f t="shared" si="5"/>
        <v>0</v>
      </c>
      <c r="U20" s="10"/>
      <c r="V20" s="7">
        <f t="shared" si="6"/>
        <v>0</v>
      </c>
      <c r="W20" s="12"/>
      <c r="X20" s="7">
        <f t="shared" si="7"/>
        <v>0</v>
      </c>
      <c r="Y20" s="10"/>
      <c r="Z20" s="7">
        <f t="shared" si="8"/>
        <v>0</v>
      </c>
      <c r="AA20" s="10"/>
      <c r="AB20" s="7">
        <f t="shared" si="10"/>
        <v>0</v>
      </c>
      <c r="AC20" s="10"/>
      <c r="AD20" s="7">
        <f t="shared" si="9"/>
        <v>0</v>
      </c>
      <c r="AE20" s="10"/>
      <c r="AF20" s="3"/>
      <c r="AG20" s="3"/>
      <c r="AH20" s="3"/>
      <c r="AI20" s="3"/>
    </row>
    <row r="21">
      <c r="A21" s="23">
        <v>246.0</v>
      </c>
      <c r="B21" s="25">
        <v>46080.0</v>
      </c>
      <c r="C21" s="6" t="s">
        <v>39</v>
      </c>
      <c r="D21" s="7" t="s">
        <v>40</v>
      </c>
      <c r="E21" s="23">
        <v>630.0</v>
      </c>
      <c r="F21" s="8">
        <f t="shared" ref="F21:F22" si="12">E21-G21-H21-I21-J21-K21</f>
        <v>582.9</v>
      </c>
      <c r="G21" s="23">
        <v>19.5</v>
      </c>
      <c r="H21" s="23">
        <v>8.5</v>
      </c>
      <c r="I21" s="23">
        <v>18.0</v>
      </c>
      <c r="J21" s="23">
        <v>0.1</v>
      </c>
      <c r="K21" s="23">
        <v>1.0</v>
      </c>
      <c r="L21" s="7">
        <f t="shared" si="1"/>
        <v>0</v>
      </c>
      <c r="M21" s="10"/>
      <c r="N21" s="7">
        <f t="shared" si="2"/>
        <v>0</v>
      </c>
      <c r="O21" s="12"/>
      <c r="P21" s="7">
        <f t="shared" si="11"/>
        <v>0</v>
      </c>
      <c r="Q21" s="7"/>
      <c r="R21" s="7">
        <f t="shared" si="4"/>
        <v>0</v>
      </c>
      <c r="S21" s="10"/>
      <c r="T21" s="7">
        <f t="shared" si="5"/>
        <v>0</v>
      </c>
      <c r="U21" s="10"/>
      <c r="V21" s="7">
        <f t="shared" si="6"/>
        <v>0</v>
      </c>
      <c r="W21" s="10"/>
      <c r="X21" s="7">
        <f t="shared" si="7"/>
        <v>0</v>
      </c>
      <c r="Y21" s="10"/>
      <c r="Z21" s="7">
        <f t="shared" si="8"/>
        <v>0</v>
      </c>
      <c r="AA21" s="10"/>
      <c r="AB21" s="7">
        <f t="shared" si="10"/>
        <v>0</v>
      </c>
      <c r="AC21" s="10"/>
      <c r="AD21" s="7">
        <f t="shared" si="9"/>
        <v>0</v>
      </c>
      <c r="AE21" s="10"/>
      <c r="AF21" s="3"/>
      <c r="AG21" s="3"/>
      <c r="AH21" s="3"/>
      <c r="AI21" s="3"/>
    </row>
    <row r="22">
      <c r="A22" s="12"/>
      <c r="B22" s="25"/>
      <c r="C22" s="12"/>
      <c r="D22" s="7" t="s">
        <v>40</v>
      </c>
      <c r="E22" s="23"/>
      <c r="F22" s="8">
        <f t="shared" si="12"/>
        <v>0</v>
      </c>
      <c r="G22" s="12"/>
      <c r="H22" s="12"/>
      <c r="I22" s="12"/>
      <c r="J22" s="12"/>
      <c r="K22" s="12"/>
      <c r="L22" s="10"/>
      <c r="M22" s="10"/>
      <c r="N22" s="7">
        <f t="shared" si="2"/>
        <v>0</v>
      </c>
      <c r="O22" s="10"/>
      <c r="P22" s="7">
        <f t="shared" si="11"/>
        <v>0</v>
      </c>
      <c r="Q22" s="7"/>
      <c r="R22" s="7">
        <f t="shared" si="4"/>
        <v>0</v>
      </c>
      <c r="S22" s="10"/>
      <c r="T22" s="7">
        <f t="shared" si="5"/>
        <v>0</v>
      </c>
      <c r="U22" s="10"/>
      <c r="V22" s="7">
        <f t="shared" si="6"/>
        <v>0</v>
      </c>
      <c r="W22" s="10"/>
      <c r="X22" s="7">
        <f t="shared" si="7"/>
        <v>0</v>
      </c>
      <c r="Y22" s="10"/>
      <c r="Z22" s="7">
        <f t="shared" si="8"/>
        <v>0</v>
      </c>
      <c r="AA22" s="10"/>
      <c r="AB22" s="7">
        <f t="shared" si="10"/>
        <v>0</v>
      </c>
      <c r="AC22" s="10"/>
      <c r="AD22" s="7">
        <f t="shared" si="9"/>
        <v>0</v>
      </c>
      <c r="AE22" s="10"/>
      <c r="AF22" s="3"/>
      <c r="AG22" s="3"/>
      <c r="AH22" s="3"/>
      <c r="AI22" s="3"/>
    </row>
    <row r="23">
      <c r="A23" s="10"/>
      <c r="B23" s="31"/>
      <c r="C23" s="10"/>
      <c r="D23" s="7" t="s">
        <v>40</v>
      </c>
      <c r="E23" s="10"/>
      <c r="F23" s="10"/>
      <c r="G23" s="10"/>
      <c r="H23" s="10"/>
      <c r="I23" s="10"/>
      <c r="J23" s="10"/>
      <c r="K23" s="10"/>
      <c r="L23" s="10"/>
      <c r="M23" s="10"/>
      <c r="N23" s="7">
        <f t="shared" si="2"/>
        <v>0</v>
      </c>
      <c r="O23" s="10"/>
      <c r="P23" s="7">
        <f t="shared" si="11"/>
        <v>0</v>
      </c>
      <c r="Q23" s="7"/>
      <c r="R23" s="7">
        <f t="shared" si="4"/>
        <v>0</v>
      </c>
      <c r="S23" s="10"/>
      <c r="T23" s="7">
        <f t="shared" si="5"/>
        <v>0</v>
      </c>
      <c r="U23" s="10"/>
      <c r="V23" s="7">
        <f t="shared" si="6"/>
        <v>0</v>
      </c>
      <c r="W23" s="10"/>
      <c r="X23" s="7">
        <f t="shared" si="7"/>
        <v>0</v>
      </c>
      <c r="Y23" s="10"/>
      <c r="Z23" s="7">
        <f t="shared" si="8"/>
        <v>0</v>
      </c>
      <c r="AA23" s="10"/>
      <c r="AB23" s="7">
        <f t="shared" si="10"/>
        <v>0</v>
      </c>
      <c r="AC23" s="10"/>
      <c r="AD23" s="7">
        <f t="shared" si="9"/>
        <v>0</v>
      </c>
      <c r="AE23" s="10"/>
      <c r="AF23" s="3"/>
      <c r="AG23" s="3"/>
      <c r="AH23" s="3"/>
      <c r="AI23" s="3"/>
    </row>
    <row r="24">
      <c r="A24" s="32" t="s">
        <v>55</v>
      </c>
      <c r="B24" s="33"/>
      <c r="C24" s="33"/>
      <c r="D24" s="34"/>
      <c r="E24" s="35"/>
      <c r="F24" s="35">
        <f t="shared" ref="F24:AE24" si="13">SUM(F2:F23)</f>
        <v>5378.7</v>
      </c>
      <c r="G24" s="35">
        <f t="shared" si="13"/>
        <v>71</v>
      </c>
      <c r="H24" s="35">
        <f t="shared" si="13"/>
        <v>39</v>
      </c>
      <c r="I24" s="35">
        <f t="shared" si="13"/>
        <v>199.5</v>
      </c>
      <c r="J24" s="35">
        <f t="shared" si="13"/>
        <v>2.8</v>
      </c>
      <c r="K24" s="35">
        <f t="shared" si="13"/>
        <v>24</v>
      </c>
      <c r="L24" s="35">
        <f t="shared" si="13"/>
        <v>0</v>
      </c>
      <c r="M24" s="35">
        <f t="shared" si="13"/>
        <v>0</v>
      </c>
      <c r="N24" s="35">
        <f t="shared" si="13"/>
        <v>4000</v>
      </c>
      <c r="O24" s="35">
        <f t="shared" si="13"/>
        <v>200</v>
      </c>
      <c r="P24" s="35">
        <f t="shared" si="13"/>
        <v>3320</v>
      </c>
      <c r="Q24" s="35">
        <f t="shared" si="13"/>
        <v>166</v>
      </c>
      <c r="R24" s="35">
        <f t="shared" si="13"/>
        <v>533.5</v>
      </c>
      <c r="S24" s="35">
        <f t="shared" si="13"/>
        <v>97</v>
      </c>
      <c r="T24" s="35">
        <f t="shared" si="13"/>
        <v>225</v>
      </c>
      <c r="U24" s="35">
        <f t="shared" si="13"/>
        <v>90</v>
      </c>
      <c r="V24" s="35">
        <f t="shared" si="13"/>
        <v>394</v>
      </c>
      <c r="W24" s="35">
        <f t="shared" si="13"/>
        <v>788</v>
      </c>
      <c r="X24" s="35">
        <f t="shared" si="13"/>
        <v>7</v>
      </c>
      <c r="Y24" s="35">
        <f t="shared" si="13"/>
        <v>5</v>
      </c>
      <c r="Z24" s="35">
        <f t="shared" si="13"/>
        <v>0</v>
      </c>
      <c r="AA24" s="35">
        <f t="shared" si="13"/>
        <v>0</v>
      </c>
      <c r="AB24" s="35">
        <f t="shared" si="13"/>
        <v>0</v>
      </c>
      <c r="AC24" s="35">
        <f t="shared" si="13"/>
        <v>0</v>
      </c>
      <c r="AD24" s="35">
        <f t="shared" si="13"/>
        <v>0</v>
      </c>
      <c r="AE24" s="35">
        <f t="shared" si="13"/>
        <v>0</v>
      </c>
      <c r="AF24" s="3"/>
      <c r="AG24" s="3"/>
      <c r="AH24" s="3"/>
      <c r="AI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>
      <c r="A26" s="3"/>
      <c r="B26" s="13" t="s">
        <v>56</v>
      </c>
      <c r="C26" s="3"/>
      <c r="D26" s="3"/>
      <c r="E26" s="3"/>
      <c r="F26" s="3"/>
      <c r="G26" s="13" t="s">
        <v>57</v>
      </c>
      <c r="H26" s="38">
        <f>H24+I24+L24+T24+V24+AD24+K24</f>
        <v>881.5</v>
      </c>
      <c r="I26" s="3"/>
      <c r="J26" s="13" t="s">
        <v>58</v>
      </c>
      <c r="K26" s="38">
        <f>SUM(F24+G24)</f>
        <v>5449.7</v>
      </c>
      <c r="L26" s="3"/>
      <c r="M26" s="13" t="s">
        <v>59</v>
      </c>
      <c r="N26" s="38">
        <f>J24+AB24</f>
        <v>2.8</v>
      </c>
      <c r="O26" s="3"/>
      <c r="P26" s="3"/>
      <c r="Q26" s="3"/>
      <c r="R26" s="3"/>
      <c r="S26" s="3"/>
      <c r="T26" s="3"/>
      <c r="U26" s="3"/>
      <c r="V26" s="3"/>
      <c r="W26" s="3"/>
      <c r="X26" s="41">
        <f t="shared" ref="X26:Y26" si="14">SUM(X24,Z24,AB24,AD24)</f>
        <v>7</v>
      </c>
      <c r="Y26" s="38">
        <f t="shared" si="14"/>
        <v>5</v>
      </c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>
      <c r="A27" s="2" t="s">
        <v>16</v>
      </c>
      <c r="B27" s="2" t="s">
        <v>1</v>
      </c>
      <c r="C27" s="2" t="s">
        <v>61</v>
      </c>
      <c r="D27" s="2" t="s">
        <v>62</v>
      </c>
      <c r="E27" s="2" t="s">
        <v>63</v>
      </c>
      <c r="F27" s="3"/>
      <c r="G27" s="13" t="s">
        <v>64</v>
      </c>
      <c r="H27" s="13" t="s">
        <v>65</v>
      </c>
      <c r="I27" s="3"/>
      <c r="J27" s="3"/>
      <c r="K27" s="3"/>
      <c r="L27" s="42">
        <v>5715.0</v>
      </c>
      <c r="M27" s="42">
        <v>8480.0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>
      <c r="A28" s="10"/>
      <c r="B28" s="31"/>
      <c r="C28" s="24" t="s">
        <v>66</v>
      </c>
      <c r="D28" s="10"/>
      <c r="E28" s="10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13" t="s">
        <v>67</v>
      </c>
      <c r="W28" s="38">
        <f>W24+U24</f>
        <v>878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>
      <c r="A29" s="10"/>
      <c r="B29" s="31"/>
      <c r="C29" s="24" t="s">
        <v>66</v>
      </c>
      <c r="D29" s="10"/>
      <c r="E29" s="10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13" t="s">
        <v>68</v>
      </c>
      <c r="W29" s="38">
        <f>V24+T24</f>
        <v>619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>
      <c r="A30" s="10"/>
      <c r="B30" s="31"/>
      <c r="C30" s="24" t="s">
        <v>66</v>
      </c>
      <c r="D30" s="10"/>
      <c r="E30" s="10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>
      <c r="A31" s="10"/>
      <c r="B31" s="31"/>
      <c r="C31" s="24" t="s">
        <v>66</v>
      </c>
      <c r="D31" s="10"/>
      <c r="E31" s="10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>
      <c r="A32" s="10"/>
      <c r="B32" s="31"/>
      <c r="C32" s="10"/>
      <c r="D32" s="7">
        <f>E32*20</f>
        <v>0</v>
      </c>
      <c r="E32" s="10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>
      <c r="A33" s="10"/>
      <c r="B33" s="31"/>
      <c r="C33" s="10"/>
      <c r="D33" s="10"/>
      <c r="E33" s="1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>
      <c r="A34" s="10"/>
      <c r="B34" s="31"/>
      <c r="C34" s="10"/>
      <c r="D34" s="10"/>
      <c r="E34" s="1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>
      <c r="A35" s="10"/>
      <c r="B35" s="31"/>
      <c r="C35" s="10"/>
      <c r="D35" s="10"/>
      <c r="E35" s="1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>
      <c r="A36" s="10"/>
      <c r="B36" s="31"/>
      <c r="C36" s="10"/>
      <c r="D36" s="10"/>
      <c r="E36" s="1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>
      <c r="A37" s="10"/>
      <c r="B37" s="31"/>
      <c r="C37" s="10"/>
      <c r="D37" s="10"/>
      <c r="E37" s="1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>
      <c r="A38" s="10"/>
      <c r="B38" s="31"/>
      <c r="C38" s="10"/>
      <c r="D38" s="10"/>
      <c r="E38" s="1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>
      <c r="A39" s="10"/>
      <c r="B39" s="31"/>
      <c r="C39" s="10"/>
      <c r="D39" s="10"/>
      <c r="E39" s="10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>
      <c r="A40" s="10"/>
      <c r="B40" s="31"/>
      <c r="C40" s="10"/>
      <c r="D40" s="10"/>
      <c r="E40" s="10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>
      <c r="A41" s="10"/>
      <c r="B41" s="31"/>
      <c r="C41" s="10"/>
      <c r="D41" s="10"/>
      <c r="E41" s="10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>
      <c r="A42" s="10"/>
      <c r="B42" s="31"/>
      <c r="C42" s="10"/>
      <c r="D42" s="10"/>
      <c r="E42" s="1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>
      <c r="A43" s="10"/>
      <c r="B43" s="31"/>
      <c r="C43" s="10"/>
      <c r="D43" s="10"/>
      <c r="E43" s="1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>
      <c r="A44" s="10"/>
      <c r="B44" s="31"/>
      <c r="C44" s="10"/>
      <c r="D44" s="10"/>
      <c r="E44" s="10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>
      <c r="A45" s="10"/>
      <c r="B45" s="31"/>
      <c r="C45" s="10"/>
      <c r="D45" s="10"/>
      <c r="E45" s="1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>
      <c r="A46" s="10"/>
      <c r="B46" s="31"/>
      <c r="C46" s="10"/>
      <c r="D46" s="10"/>
      <c r="E46" s="1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</row>
  </sheetData>
  <mergeCells count="1">
    <mergeCell ref="A24:D24"/>
  </mergeCells>
  <dataValidations>
    <dataValidation type="list" allowBlank="1" showErrorMessage="1" sqref="C28:C46">
      <formula1>"Palet,Carrete de Madera,Carrete Plástico,Tambores 120 lts"</formula1>
    </dataValidation>
    <dataValidation type="list" allowBlank="1" showErrorMessage="1" sqref="C2:C23">
      <formula1>"AREAS PRODUCTIVAS,bod, Apd, Ácido,puntos verdes y HSEC"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30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 t="s">
        <v>32</v>
      </c>
      <c r="R1" s="1" t="s">
        <v>33</v>
      </c>
      <c r="S1" s="2" t="s">
        <v>15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3"/>
      <c r="AH1" s="3"/>
      <c r="AI1" s="3"/>
      <c r="AJ1" s="3"/>
    </row>
    <row r="2">
      <c r="A2" s="4">
        <v>248.0</v>
      </c>
      <c r="B2" s="5">
        <v>46084.0</v>
      </c>
      <c r="C2" s="6" t="s">
        <v>41</v>
      </c>
      <c r="D2" s="7" t="s">
        <v>40</v>
      </c>
      <c r="E2" s="4">
        <v>870.0</v>
      </c>
      <c r="F2" s="8"/>
      <c r="G2" s="9"/>
      <c r="H2" s="9"/>
      <c r="I2" s="9"/>
      <c r="J2" s="9"/>
      <c r="K2" s="9"/>
      <c r="L2" s="10"/>
      <c r="M2" s="7">
        <f t="shared" ref="M2:M21" si="1">N2*10</f>
        <v>0</v>
      </c>
      <c r="N2" s="10"/>
      <c r="O2" s="7">
        <f t="shared" ref="O2:O23" si="2">P2*20</f>
        <v>340</v>
      </c>
      <c r="P2" s="4">
        <v>17.0</v>
      </c>
      <c r="Q2" s="7">
        <f t="shared" ref="Q2:Q23" si="3">(R2*20)</f>
        <v>280</v>
      </c>
      <c r="R2" s="4">
        <v>14.0</v>
      </c>
      <c r="S2" s="7">
        <f t="shared" ref="S2:S23" si="4">T2*5.5</f>
        <v>82.5</v>
      </c>
      <c r="T2" s="4">
        <v>15.0</v>
      </c>
      <c r="U2" s="7">
        <f t="shared" ref="U2:U23" si="5">V2*2.5</f>
        <v>40</v>
      </c>
      <c r="V2" s="9">
        <v>16.0</v>
      </c>
      <c r="W2" s="7">
        <f t="shared" ref="W2:W23" si="6">X2*0.5</f>
        <v>119</v>
      </c>
      <c r="X2" s="4">
        <v>238.0</v>
      </c>
      <c r="Y2" s="7">
        <f t="shared" ref="Y2:Y23" si="7">Z2*1.4</f>
        <v>0</v>
      </c>
      <c r="Z2" s="10"/>
      <c r="AA2" s="7">
        <f t="shared" ref="AA2:AA23" si="8">AB2*1.2</f>
        <v>0</v>
      </c>
      <c r="AB2" s="10"/>
      <c r="AC2" s="7">
        <f>AD2*16</f>
        <v>0</v>
      </c>
      <c r="AD2" s="7">
        <v>0.0</v>
      </c>
      <c r="AE2" s="7">
        <f t="shared" ref="AE2:AE23" si="9">AF2*2.275</f>
        <v>0</v>
      </c>
      <c r="AF2" s="10"/>
      <c r="AG2" s="13" t="s">
        <v>42</v>
      </c>
      <c r="AH2" s="3"/>
      <c r="AI2" s="3"/>
      <c r="AJ2" s="3"/>
    </row>
    <row r="3">
      <c r="A3" s="4">
        <v>249.0</v>
      </c>
      <c r="B3" s="5">
        <v>46084.0</v>
      </c>
      <c r="C3" s="6" t="s">
        <v>39</v>
      </c>
      <c r="D3" s="7" t="s">
        <v>40</v>
      </c>
      <c r="E3" s="4">
        <v>580.0</v>
      </c>
      <c r="F3" s="8">
        <f>E3-G3-H3-I3-J3-K3-L3</f>
        <v>527.7</v>
      </c>
      <c r="G3" s="4">
        <v>5.0</v>
      </c>
      <c r="H3" s="4">
        <v>2.5</v>
      </c>
      <c r="I3" s="4">
        <v>42.0</v>
      </c>
      <c r="J3" s="4">
        <v>0.3</v>
      </c>
      <c r="K3" s="7"/>
      <c r="L3" s="9">
        <v>2.5</v>
      </c>
      <c r="M3" s="7">
        <f t="shared" si="1"/>
        <v>0</v>
      </c>
      <c r="N3" s="10"/>
      <c r="O3" s="7">
        <f t="shared" si="2"/>
        <v>0</v>
      </c>
      <c r="P3" s="9"/>
      <c r="Q3" s="7">
        <f t="shared" si="3"/>
        <v>0</v>
      </c>
      <c r="R3" s="7"/>
      <c r="S3" s="7">
        <f t="shared" si="4"/>
        <v>0</v>
      </c>
      <c r="T3" s="12"/>
      <c r="U3" s="7">
        <f t="shared" si="5"/>
        <v>0</v>
      </c>
      <c r="V3" s="12"/>
      <c r="W3" s="7">
        <f t="shared" si="6"/>
        <v>0</v>
      </c>
      <c r="X3" s="12"/>
      <c r="Y3" s="7">
        <f t="shared" si="7"/>
        <v>0</v>
      </c>
      <c r="Z3" s="10"/>
      <c r="AA3" s="7">
        <f t="shared" si="8"/>
        <v>0</v>
      </c>
      <c r="AB3" s="10"/>
      <c r="AC3" s="7">
        <v>0.0</v>
      </c>
      <c r="AD3" s="10"/>
      <c r="AE3" s="7">
        <f t="shared" si="9"/>
        <v>0</v>
      </c>
      <c r="AF3" s="10"/>
      <c r="AG3" s="3"/>
      <c r="AH3" s="3"/>
      <c r="AI3" s="3"/>
      <c r="AJ3" s="3"/>
    </row>
    <row r="4">
      <c r="A4" s="23">
        <v>451.0</v>
      </c>
      <c r="B4" s="5">
        <v>46086.0</v>
      </c>
      <c r="C4" s="6" t="s">
        <v>41</v>
      </c>
      <c r="D4" s="7" t="s">
        <v>40</v>
      </c>
      <c r="E4" s="23">
        <v>910.0</v>
      </c>
      <c r="F4" s="8"/>
      <c r="G4" s="12"/>
      <c r="H4" s="12"/>
      <c r="I4" s="12"/>
      <c r="J4" s="12"/>
      <c r="K4" s="12"/>
      <c r="L4" s="12"/>
      <c r="M4" s="7">
        <f t="shared" si="1"/>
        <v>0</v>
      </c>
      <c r="N4" s="10"/>
      <c r="O4" s="7">
        <f t="shared" si="2"/>
        <v>440</v>
      </c>
      <c r="P4" s="4">
        <v>22.0</v>
      </c>
      <c r="Q4" s="7">
        <f t="shared" si="3"/>
        <v>460</v>
      </c>
      <c r="R4" s="4">
        <v>23.0</v>
      </c>
      <c r="S4" s="7">
        <f t="shared" si="4"/>
        <v>0</v>
      </c>
      <c r="T4" s="7"/>
      <c r="U4" s="7">
        <f t="shared" si="5"/>
        <v>10</v>
      </c>
      <c r="V4" s="4">
        <v>4.0</v>
      </c>
      <c r="W4" s="7">
        <f t="shared" si="6"/>
        <v>0</v>
      </c>
      <c r="X4" s="4"/>
      <c r="Y4" s="7">
        <f t="shared" si="7"/>
        <v>0</v>
      </c>
      <c r="Z4" s="10"/>
      <c r="AA4" s="7">
        <f t="shared" si="8"/>
        <v>0</v>
      </c>
      <c r="AB4" s="10"/>
      <c r="AC4" s="7">
        <f t="shared" ref="AC4:AC23" si="10">AD4*16</f>
        <v>0</v>
      </c>
      <c r="AD4" s="10"/>
      <c r="AE4" s="7">
        <f t="shared" si="9"/>
        <v>0</v>
      </c>
      <c r="AF4" s="10"/>
      <c r="AG4" s="3"/>
      <c r="AH4" s="3"/>
      <c r="AI4" s="3"/>
      <c r="AJ4" s="3"/>
    </row>
    <row r="5">
      <c r="A5" s="23">
        <v>452.0</v>
      </c>
      <c r="B5" s="5">
        <v>46086.0</v>
      </c>
      <c r="C5" s="24" t="s">
        <v>41</v>
      </c>
      <c r="D5" s="7" t="s">
        <v>40</v>
      </c>
      <c r="E5" s="23">
        <v>600.0</v>
      </c>
      <c r="F5" s="8"/>
      <c r="G5" s="10"/>
      <c r="H5" s="10"/>
      <c r="I5" s="10"/>
      <c r="J5" s="10"/>
      <c r="K5" s="10"/>
      <c r="L5" s="10"/>
      <c r="M5" s="7">
        <f t="shared" si="1"/>
        <v>0</v>
      </c>
      <c r="N5" s="12"/>
      <c r="O5" s="7">
        <f t="shared" si="2"/>
        <v>160</v>
      </c>
      <c r="P5" s="23">
        <v>8.0</v>
      </c>
      <c r="Q5" s="7">
        <f t="shared" si="3"/>
        <v>440</v>
      </c>
      <c r="R5" s="4">
        <v>22.0</v>
      </c>
      <c r="S5" s="7">
        <f t="shared" si="4"/>
        <v>0</v>
      </c>
      <c r="T5" s="12"/>
      <c r="U5" s="7">
        <f t="shared" si="5"/>
        <v>0</v>
      </c>
      <c r="V5" s="12"/>
      <c r="W5" s="7">
        <f t="shared" si="6"/>
        <v>0</v>
      </c>
      <c r="X5" s="12"/>
      <c r="Y5" s="7">
        <f t="shared" si="7"/>
        <v>0</v>
      </c>
      <c r="Z5" s="10"/>
      <c r="AA5" s="7">
        <f t="shared" si="8"/>
        <v>0</v>
      </c>
      <c r="AB5" s="10"/>
      <c r="AC5" s="7">
        <f t="shared" si="10"/>
        <v>0</v>
      </c>
      <c r="AD5" s="10"/>
      <c r="AE5" s="7">
        <f t="shared" si="9"/>
        <v>0</v>
      </c>
      <c r="AF5" s="10"/>
      <c r="AG5" s="3"/>
      <c r="AH5" s="3"/>
      <c r="AI5" s="3"/>
      <c r="AJ5" s="3"/>
    </row>
    <row r="6">
      <c r="A6" s="23">
        <v>454.0</v>
      </c>
      <c r="B6" s="5">
        <v>46087.0</v>
      </c>
      <c r="C6" s="6" t="s">
        <v>39</v>
      </c>
      <c r="D6" s="7" t="s">
        <v>40</v>
      </c>
      <c r="E6" s="23">
        <v>500.0</v>
      </c>
      <c r="F6" s="8">
        <f>E6-G6-H6-I6-J6-L6</f>
        <v>465</v>
      </c>
      <c r="G6" s="9">
        <v>2.0</v>
      </c>
      <c r="H6" s="4">
        <v>3.0</v>
      </c>
      <c r="I6" s="4">
        <v>26.5</v>
      </c>
      <c r="J6" s="4">
        <v>0.5</v>
      </c>
      <c r="K6" s="4"/>
      <c r="L6" s="9">
        <v>3.0</v>
      </c>
      <c r="M6" s="7">
        <f t="shared" si="1"/>
        <v>0</v>
      </c>
      <c r="N6" s="10"/>
      <c r="O6" s="7">
        <f t="shared" si="2"/>
        <v>0</v>
      </c>
      <c r="P6" s="12"/>
      <c r="Q6" s="7">
        <f t="shared" si="3"/>
        <v>0</v>
      </c>
      <c r="R6" s="7"/>
      <c r="S6" s="7">
        <f t="shared" si="4"/>
        <v>0</v>
      </c>
      <c r="T6" s="10"/>
      <c r="U6" s="7">
        <f t="shared" si="5"/>
        <v>0</v>
      </c>
      <c r="V6" s="10"/>
      <c r="W6" s="7">
        <f t="shared" si="6"/>
        <v>0</v>
      </c>
      <c r="X6" s="10"/>
      <c r="Y6" s="7">
        <f t="shared" si="7"/>
        <v>0</v>
      </c>
      <c r="Z6" s="10"/>
      <c r="AA6" s="7">
        <f t="shared" si="8"/>
        <v>0</v>
      </c>
      <c r="AB6" s="10"/>
      <c r="AC6" s="7">
        <f t="shared" si="10"/>
        <v>0</v>
      </c>
      <c r="AD6" s="10"/>
      <c r="AE6" s="7">
        <f t="shared" si="9"/>
        <v>0</v>
      </c>
      <c r="AF6" s="10"/>
      <c r="AG6" s="3"/>
      <c r="AH6" s="3"/>
      <c r="AI6" s="3"/>
      <c r="AJ6" s="3"/>
    </row>
    <row r="7">
      <c r="A7" s="23">
        <v>456.0</v>
      </c>
      <c r="B7" s="5">
        <v>46091.0</v>
      </c>
      <c r="C7" s="6" t="s">
        <v>41</v>
      </c>
      <c r="D7" s="7" t="s">
        <v>40</v>
      </c>
      <c r="E7" s="23">
        <v>980.0</v>
      </c>
      <c r="F7" s="8"/>
      <c r="G7" s="26"/>
      <c r="H7" s="12"/>
      <c r="I7" s="12"/>
      <c r="J7" s="12"/>
      <c r="K7" s="12">
        <v>273.5</v>
      </c>
      <c r="L7" s="12"/>
      <c r="M7" s="7">
        <f t="shared" si="1"/>
        <v>0</v>
      </c>
      <c r="N7" s="10"/>
      <c r="O7" s="7">
        <f t="shared" si="2"/>
        <v>500</v>
      </c>
      <c r="P7" s="4">
        <v>25.0</v>
      </c>
      <c r="Q7" s="7">
        <f t="shared" si="3"/>
        <v>260</v>
      </c>
      <c r="R7" s="4">
        <v>13.0</v>
      </c>
      <c r="S7" s="7">
        <f t="shared" si="4"/>
        <v>148.5</v>
      </c>
      <c r="T7" s="4">
        <v>27.0</v>
      </c>
      <c r="U7" s="7">
        <f t="shared" si="5"/>
        <v>0</v>
      </c>
      <c r="V7" s="4"/>
      <c r="W7" s="7">
        <f t="shared" si="6"/>
        <v>58</v>
      </c>
      <c r="X7" s="4">
        <v>116.0</v>
      </c>
      <c r="Y7" s="7">
        <f t="shared" si="7"/>
        <v>0</v>
      </c>
      <c r="Z7" s="10"/>
      <c r="AA7" s="7">
        <f t="shared" si="8"/>
        <v>0</v>
      </c>
      <c r="AB7" s="10"/>
      <c r="AC7" s="7">
        <f t="shared" si="10"/>
        <v>0</v>
      </c>
      <c r="AD7" s="10"/>
      <c r="AE7" s="7">
        <f t="shared" si="9"/>
        <v>0</v>
      </c>
      <c r="AF7" s="10"/>
      <c r="AG7" s="3"/>
      <c r="AH7" s="3"/>
      <c r="AI7" s="3"/>
      <c r="AJ7" s="3"/>
    </row>
    <row r="8">
      <c r="A8" s="23">
        <v>457.0</v>
      </c>
      <c r="B8" s="5">
        <v>46091.0</v>
      </c>
      <c r="C8" s="6" t="s">
        <v>39</v>
      </c>
      <c r="D8" s="7" t="s">
        <v>40</v>
      </c>
      <c r="E8" s="23">
        <v>750.0</v>
      </c>
      <c r="F8" s="8">
        <f>E8-G8-H8-I8-J8-L8</f>
        <v>690</v>
      </c>
      <c r="G8" s="4">
        <v>2.0</v>
      </c>
      <c r="H8" s="4">
        <v>11.0</v>
      </c>
      <c r="I8" s="4">
        <v>46.0</v>
      </c>
      <c r="J8" s="4">
        <v>1.0</v>
      </c>
      <c r="K8" s="4"/>
      <c r="L8" s="4"/>
      <c r="M8" s="7">
        <f t="shared" si="1"/>
        <v>0</v>
      </c>
      <c r="N8" s="10"/>
      <c r="O8" s="7">
        <f t="shared" si="2"/>
        <v>0</v>
      </c>
      <c r="P8" s="12"/>
      <c r="Q8" s="7">
        <f t="shared" si="3"/>
        <v>0</v>
      </c>
      <c r="R8" s="7"/>
      <c r="S8" s="7">
        <f t="shared" si="4"/>
        <v>0</v>
      </c>
      <c r="T8" s="12"/>
      <c r="U8" s="7">
        <f t="shared" si="5"/>
        <v>0</v>
      </c>
      <c r="V8" s="12"/>
      <c r="W8" s="7">
        <f t="shared" si="6"/>
        <v>0</v>
      </c>
      <c r="X8" s="12"/>
      <c r="Y8" s="7">
        <f t="shared" si="7"/>
        <v>0</v>
      </c>
      <c r="Z8" s="10"/>
      <c r="AA8" s="7">
        <f t="shared" si="8"/>
        <v>0</v>
      </c>
      <c r="AB8" s="10"/>
      <c r="AC8" s="7">
        <f t="shared" si="10"/>
        <v>0</v>
      </c>
      <c r="AD8" s="10"/>
      <c r="AE8" s="7">
        <f t="shared" si="9"/>
        <v>0</v>
      </c>
      <c r="AF8" s="10"/>
      <c r="AG8" s="3"/>
      <c r="AH8" s="3"/>
      <c r="AI8" s="3"/>
      <c r="AJ8" s="3"/>
    </row>
    <row r="9">
      <c r="A9" s="23">
        <v>459.0</v>
      </c>
      <c r="B9" s="5">
        <v>46093.0</v>
      </c>
      <c r="C9" s="6" t="s">
        <v>41</v>
      </c>
      <c r="D9" s="7" t="s">
        <v>40</v>
      </c>
      <c r="E9" s="23">
        <v>1040.0</v>
      </c>
      <c r="F9" s="8"/>
      <c r="G9" s="12"/>
      <c r="H9" s="12"/>
      <c r="I9" s="12"/>
      <c r="J9" s="12"/>
      <c r="K9" s="12">
        <v>427.5</v>
      </c>
      <c r="L9" s="12"/>
      <c r="M9" s="7">
        <f t="shared" si="1"/>
        <v>0</v>
      </c>
      <c r="N9" s="10"/>
      <c r="O9" s="7">
        <f t="shared" si="2"/>
        <v>500</v>
      </c>
      <c r="P9" s="4">
        <v>25.0</v>
      </c>
      <c r="Q9" s="7">
        <f t="shared" si="3"/>
        <v>0</v>
      </c>
      <c r="R9" s="7"/>
      <c r="S9" s="7">
        <f t="shared" si="4"/>
        <v>66</v>
      </c>
      <c r="T9" s="4">
        <v>12.0</v>
      </c>
      <c r="U9" s="7">
        <f t="shared" si="5"/>
        <v>47.5</v>
      </c>
      <c r="V9" s="9">
        <v>19.0</v>
      </c>
      <c r="W9" s="7">
        <f t="shared" si="6"/>
        <v>8</v>
      </c>
      <c r="X9" s="9">
        <v>16.0</v>
      </c>
      <c r="Y9" s="7">
        <f t="shared" si="7"/>
        <v>0</v>
      </c>
      <c r="Z9" s="10"/>
      <c r="AA9" s="7">
        <f t="shared" si="8"/>
        <v>0</v>
      </c>
      <c r="AB9" s="10"/>
      <c r="AC9" s="7">
        <f t="shared" si="10"/>
        <v>0</v>
      </c>
      <c r="AD9" s="10"/>
      <c r="AE9" s="7">
        <f t="shared" si="9"/>
        <v>0</v>
      </c>
      <c r="AF9" s="10"/>
      <c r="AG9" s="3"/>
      <c r="AH9" s="3"/>
      <c r="AI9" s="3"/>
      <c r="AJ9" s="3"/>
    </row>
    <row r="10">
      <c r="A10" s="23">
        <v>460.0</v>
      </c>
      <c r="B10" s="5">
        <v>46093.0</v>
      </c>
      <c r="C10" s="24" t="s">
        <v>41</v>
      </c>
      <c r="D10" s="7" t="s">
        <v>40</v>
      </c>
      <c r="E10" s="23">
        <v>1050.0</v>
      </c>
      <c r="F10" s="10"/>
      <c r="G10" s="10"/>
      <c r="H10" s="9"/>
      <c r="I10" s="10"/>
      <c r="J10" s="10"/>
      <c r="K10" s="10"/>
      <c r="L10" s="10"/>
      <c r="M10" s="7">
        <f t="shared" si="1"/>
        <v>0</v>
      </c>
      <c r="N10" s="10"/>
      <c r="O10" s="7">
        <f t="shared" si="2"/>
        <v>420</v>
      </c>
      <c r="P10" s="23">
        <v>21.0</v>
      </c>
      <c r="Q10" s="7">
        <f t="shared" si="3"/>
        <v>620</v>
      </c>
      <c r="R10" s="4">
        <v>31.0</v>
      </c>
      <c r="S10" s="7">
        <f t="shared" si="4"/>
        <v>0</v>
      </c>
      <c r="T10" s="10"/>
      <c r="U10" s="7">
        <f t="shared" si="5"/>
        <v>0</v>
      </c>
      <c r="V10" s="10"/>
      <c r="W10" s="7">
        <f t="shared" si="6"/>
        <v>0</v>
      </c>
      <c r="X10" s="10"/>
      <c r="Y10" s="7">
        <f t="shared" si="7"/>
        <v>0</v>
      </c>
      <c r="Z10" s="10"/>
      <c r="AA10" s="7">
        <f t="shared" si="8"/>
        <v>0</v>
      </c>
      <c r="AB10" s="10"/>
      <c r="AC10" s="7">
        <f t="shared" si="10"/>
        <v>0</v>
      </c>
      <c r="AD10" s="10"/>
      <c r="AE10" s="7">
        <f t="shared" si="9"/>
        <v>0</v>
      </c>
      <c r="AF10" s="10"/>
      <c r="AG10" s="3"/>
      <c r="AH10" s="3"/>
      <c r="AI10" s="3"/>
      <c r="AJ10" s="3"/>
    </row>
    <row r="11">
      <c r="A11" s="23">
        <v>462.0</v>
      </c>
      <c r="B11" s="5">
        <v>46094.0</v>
      </c>
      <c r="C11" s="6" t="s">
        <v>39</v>
      </c>
      <c r="D11" s="7" t="s">
        <v>40</v>
      </c>
      <c r="E11" s="23">
        <v>580.0</v>
      </c>
      <c r="F11" s="8">
        <f>E11-G11-H11-I11-J11-L11</f>
        <v>546</v>
      </c>
      <c r="G11" s="23">
        <v>6.0</v>
      </c>
      <c r="H11" s="23">
        <v>7.5</v>
      </c>
      <c r="I11" s="23">
        <v>16.5</v>
      </c>
      <c r="J11" s="23"/>
      <c r="K11" s="23"/>
      <c r="L11" s="9">
        <v>4.0</v>
      </c>
      <c r="M11" s="7">
        <f t="shared" si="1"/>
        <v>0</v>
      </c>
      <c r="N11" s="10"/>
      <c r="O11" s="7">
        <f t="shared" si="2"/>
        <v>0</v>
      </c>
      <c r="P11" s="12"/>
      <c r="Q11" s="7">
        <f t="shared" si="3"/>
        <v>0</v>
      </c>
      <c r="R11" s="7"/>
      <c r="S11" s="7">
        <f t="shared" si="4"/>
        <v>0</v>
      </c>
      <c r="T11" s="10"/>
      <c r="U11" s="7">
        <f t="shared" si="5"/>
        <v>0</v>
      </c>
      <c r="V11" s="9"/>
      <c r="W11" s="7">
        <f t="shared" si="6"/>
        <v>0</v>
      </c>
      <c r="X11" s="9"/>
      <c r="Y11" s="7">
        <f t="shared" si="7"/>
        <v>0</v>
      </c>
      <c r="Z11" s="10"/>
      <c r="AA11" s="7">
        <f t="shared" si="8"/>
        <v>0</v>
      </c>
      <c r="AB11" s="10"/>
      <c r="AC11" s="7">
        <f t="shared" si="10"/>
        <v>0</v>
      </c>
      <c r="AD11" s="10"/>
      <c r="AE11" s="7">
        <f t="shared" si="9"/>
        <v>0</v>
      </c>
      <c r="AF11" s="10"/>
      <c r="AG11" s="3"/>
      <c r="AH11" s="3"/>
      <c r="AI11" s="3"/>
      <c r="AJ11" s="3"/>
    </row>
    <row r="12" ht="16.5" customHeight="1">
      <c r="A12" s="23">
        <v>464.0</v>
      </c>
      <c r="B12" s="5">
        <v>46098.0</v>
      </c>
      <c r="C12" s="6" t="s">
        <v>41</v>
      </c>
      <c r="D12" s="7" t="s">
        <v>40</v>
      </c>
      <c r="E12" s="23">
        <v>750.0</v>
      </c>
      <c r="F12" s="8"/>
      <c r="G12" s="26"/>
      <c r="H12" s="12"/>
      <c r="I12" s="12"/>
      <c r="J12" s="10"/>
      <c r="K12" s="10"/>
      <c r="L12" s="10"/>
      <c r="M12" s="7">
        <f t="shared" si="1"/>
        <v>0</v>
      </c>
      <c r="N12" s="10"/>
      <c r="O12" s="7">
        <f t="shared" si="2"/>
        <v>420</v>
      </c>
      <c r="P12" s="23">
        <v>21.0</v>
      </c>
      <c r="Q12" s="7">
        <f t="shared" si="3"/>
        <v>80</v>
      </c>
      <c r="R12" s="4">
        <v>4.0</v>
      </c>
      <c r="S12" s="7">
        <f t="shared" si="4"/>
        <v>0</v>
      </c>
      <c r="T12" s="23"/>
      <c r="U12" s="7">
        <f t="shared" si="5"/>
        <v>217.5</v>
      </c>
      <c r="V12" s="23">
        <v>87.0</v>
      </c>
      <c r="W12" s="7">
        <f t="shared" si="6"/>
        <v>0</v>
      </c>
      <c r="X12" s="23"/>
      <c r="Y12" s="7">
        <f t="shared" si="7"/>
        <v>0</v>
      </c>
      <c r="Z12" s="10"/>
      <c r="AA12" s="7">
        <f t="shared" si="8"/>
        <v>0</v>
      </c>
      <c r="AB12" s="10"/>
      <c r="AC12" s="7">
        <f t="shared" si="10"/>
        <v>0</v>
      </c>
      <c r="AD12" s="10"/>
      <c r="AE12" s="7">
        <f t="shared" si="9"/>
        <v>18.2</v>
      </c>
      <c r="AF12" s="9">
        <v>8.0</v>
      </c>
      <c r="AG12" s="3"/>
      <c r="AH12" s="3"/>
      <c r="AI12" s="3"/>
      <c r="AJ12" s="3"/>
    </row>
    <row r="13">
      <c r="A13" s="23">
        <v>465.0</v>
      </c>
      <c r="B13" s="5">
        <v>46098.0</v>
      </c>
      <c r="C13" s="6" t="s">
        <v>39</v>
      </c>
      <c r="D13" s="7" t="s">
        <v>40</v>
      </c>
      <c r="E13" s="23">
        <v>550.0</v>
      </c>
      <c r="F13" s="8">
        <f>E13-G13-H13-I13</f>
        <v>523</v>
      </c>
      <c r="G13" s="23">
        <v>7.5</v>
      </c>
      <c r="H13" s="23">
        <v>4.5</v>
      </c>
      <c r="I13" s="23">
        <v>15.0</v>
      </c>
      <c r="J13" s="9">
        <v>0.3</v>
      </c>
      <c r="K13" s="10"/>
      <c r="L13" s="9">
        <v>3.0</v>
      </c>
      <c r="M13" s="7">
        <f t="shared" si="1"/>
        <v>0</v>
      </c>
      <c r="N13" s="10"/>
      <c r="O13" s="7">
        <f t="shared" si="2"/>
        <v>0</v>
      </c>
      <c r="P13" s="12"/>
      <c r="Q13" s="7">
        <f t="shared" si="3"/>
        <v>0</v>
      </c>
      <c r="R13" s="7"/>
      <c r="S13" s="7">
        <f t="shared" si="4"/>
        <v>0</v>
      </c>
      <c r="T13" s="12"/>
      <c r="U13" s="7">
        <f t="shared" si="5"/>
        <v>0</v>
      </c>
      <c r="V13" s="10"/>
      <c r="W13" s="7">
        <f t="shared" si="6"/>
        <v>0</v>
      </c>
      <c r="X13" s="12"/>
      <c r="Y13" s="7">
        <f t="shared" si="7"/>
        <v>0</v>
      </c>
      <c r="Z13" s="10"/>
      <c r="AA13" s="7">
        <f t="shared" si="8"/>
        <v>0</v>
      </c>
      <c r="AB13" s="10"/>
      <c r="AC13" s="7">
        <f t="shared" si="10"/>
        <v>0</v>
      </c>
      <c r="AD13" s="10"/>
      <c r="AE13" s="7">
        <f t="shared" si="9"/>
        <v>0</v>
      </c>
      <c r="AF13" s="10"/>
      <c r="AG13" s="3"/>
      <c r="AH13" s="3"/>
      <c r="AI13" s="3"/>
      <c r="AJ13" s="3"/>
    </row>
    <row r="14">
      <c r="A14" s="23">
        <v>467.0</v>
      </c>
      <c r="B14" s="5">
        <v>46100.0</v>
      </c>
      <c r="C14" s="6" t="s">
        <v>41</v>
      </c>
      <c r="D14" s="7" t="s">
        <v>40</v>
      </c>
      <c r="E14" s="23">
        <v>960.0</v>
      </c>
      <c r="F14" s="8"/>
      <c r="G14" s="12"/>
      <c r="H14" s="12"/>
      <c r="I14" s="12"/>
      <c r="J14" s="12"/>
      <c r="K14" s="12"/>
      <c r="L14" s="10"/>
      <c r="M14" s="7">
        <f t="shared" si="1"/>
        <v>0</v>
      </c>
      <c r="N14" s="10"/>
      <c r="O14" s="7">
        <f t="shared" si="2"/>
        <v>480</v>
      </c>
      <c r="P14" s="4">
        <v>24.0</v>
      </c>
      <c r="Q14" s="7">
        <f t="shared" si="3"/>
        <v>480</v>
      </c>
      <c r="R14" s="4">
        <v>24.0</v>
      </c>
      <c r="S14" s="7">
        <f t="shared" si="4"/>
        <v>0</v>
      </c>
      <c r="T14" s="7"/>
      <c r="U14" s="7">
        <f t="shared" si="5"/>
        <v>0</v>
      </c>
      <c r="V14" s="7"/>
      <c r="W14" s="7">
        <f t="shared" si="6"/>
        <v>0</v>
      </c>
      <c r="X14" s="10"/>
      <c r="Y14" s="7">
        <f t="shared" si="7"/>
        <v>0</v>
      </c>
      <c r="Z14" s="10"/>
      <c r="AA14" s="7">
        <f t="shared" si="8"/>
        <v>0</v>
      </c>
      <c r="AB14" s="10"/>
      <c r="AC14" s="7">
        <f t="shared" si="10"/>
        <v>0</v>
      </c>
      <c r="AD14" s="10"/>
      <c r="AE14" s="7">
        <f t="shared" si="9"/>
        <v>0</v>
      </c>
      <c r="AF14" s="10"/>
      <c r="AG14" s="3"/>
      <c r="AH14" s="3"/>
      <c r="AI14" s="3"/>
      <c r="AJ14" s="3"/>
    </row>
    <row r="15" ht="15.75" customHeight="1">
      <c r="A15" s="23">
        <v>468.0</v>
      </c>
      <c r="B15" s="5">
        <v>46100.0</v>
      </c>
      <c r="C15" s="24" t="s">
        <v>41</v>
      </c>
      <c r="D15" s="7" t="s">
        <v>40</v>
      </c>
      <c r="E15" s="23">
        <v>910.0</v>
      </c>
      <c r="F15" s="10"/>
      <c r="G15" s="10"/>
      <c r="H15" s="10"/>
      <c r="I15" s="10"/>
      <c r="J15" s="10"/>
      <c r="K15" s="10"/>
      <c r="L15" s="10"/>
      <c r="M15" s="7">
        <f t="shared" si="1"/>
        <v>0</v>
      </c>
      <c r="N15" s="10"/>
      <c r="O15" s="7">
        <f t="shared" si="2"/>
        <v>400</v>
      </c>
      <c r="P15" s="12">
        <v>20.0</v>
      </c>
      <c r="Q15" s="7">
        <f t="shared" si="3"/>
        <v>300</v>
      </c>
      <c r="R15" s="4">
        <v>15.0</v>
      </c>
      <c r="S15" s="7">
        <f t="shared" si="4"/>
        <v>0</v>
      </c>
      <c r="T15" s="10"/>
      <c r="U15" s="7">
        <f t="shared" si="5"/>
        <v>202.5</v>
      </c>
      <c r="V15" s="9">
        <v>81.0</v>
      </c>
      <c r="W15" s="7">
        <f t="shared" si="6"/>
        <v>0</v>
      </c>
      <c r="X15" s="10"/>
      <c r="Y15" s="7">
        <f t="shared" si="7"/>
        <v>0</v>
      </c>
      <c r="Z15" s="10"/>
      <c r="AA15" s="7">
        <f t="shared" si="8"/>
        <v>0</v>
      </c>
      <c r="AB15" s="10"/>
      <c r="AC15" s="7">
        <f t="shared" si="10"/>
        <v>0</v>
      </c>
      <c r="AD15" s="10"/>
      <c r="AE15" s="7">
        <f t="shared" si="9"/>
        <v>0</v>
      </c>
      <c r="AF15" s="10"/>
      <c r="AG15" s="3"/>
      <c r="AH15" s="3"/>
      <c r="AI15" s="3"/>
      <c r="AJ15" s="3"/>
    </row>
    <row r="16">
      <c r="A16" s="23">
        <v>469.0</v>
      </c>
      <c r="B16" s="5">
        <v>46101.0</v>
      </c>
      <c r="C16" s="6" t="s">
        <v>39</v>
      </c>
      <c r="D16" s="7" t="s">
        <v>40</v>
      </c>
      <c r="E16" s="23">
        <v>600.0</v>
      </c>
      <c r="F16" s="8">
        <f>E16-G16-H16-I16-J16</f>
        <v>551</v>
      </c>
      <c r="G16" s="23"/>
      <c r="H16" s="23">
        <v>7.0</v>
      </c>
      <c r="I16" s="23">
        <v>41.0</v>
      </c>
      <c r="J16" s="9">
        <v>1.0</v>
      </c>
      <c r="K16" s="9"/>
      <c r="L16" s="10"/>
      <c r="M16" s="7">
        <f t="shared" si="1"/>
        <v>0</v>
      </c>
      <c r="N16" s="10"/>
      <c r="O16" s="7">
        <f t="shared" si="2"/>
        <v>0</v>
      </c>
      <c r="P16" s="12"/>
      <c r="Q16" s="7">
        <f t="shared" si="3"/>
        <v>0</v>
      </c>
      <c r="R16" s="7"/>
      <c r="S16" s="7">
        <f t="shared" si="4"/>
        <v>0</v>
      </c>
      <c r="T16" s="10"/>
      <c r="U16" s="7">
        <f t="shared" si="5"/>
        <v>0</v>
      </c>
      <c r="V16" s="10"/>
      <c r="W16" s="7">
        <f t="shared" si="6"/>
        <v>0</v>
      </c>
      <c r="X16" s="10"/>
      <c r="Y16" s="7">
        <f t="shared" si="7"/>
        <v>0</v>
      </c>
      <c r="Z16" s="10"/>
      <c r="AA16" s="7">
        <f t="shared" si="8"/>
        <v>0</v>
      </c>
      <c r="AB16" s="10"/>
      <c r="AC16" s="7">
        <f t="shared" si="10"/>
        <v>0</v>
      </c>
      <c r="AD16" s="10"/>
      <c r="AE16" s="7">
        <f t="shared" si="9"/>
        <v>0</v>
      </c>
      <c r="AF16" s="10"/>
      <c r="AG16" s="3"/>
      <c r="AH16" s="3"/>
      <c r="AI16" s="3"/>
      <c r="AJ16" s="3"/>
    </row>
    <row r="17">
      <c r="A17" s="23">
        <v>472.0</v>
      </c>
      <c r="B17" s="5">
        <v>46105.0</v>
      </c>
      <c r="C17" s="6" t="s">
        <v>41</v>
      </c>
      <c r="D17" s="7" t="s">
        <v>40</v>
      </c>
      <c r="E17" s="23">
        <v>820.0</v>
      </c>
      <c r="F17" s="30">
        <v>0.0</v>
      </c>
      <c r="G17" s="12"/>
      <c r="H17" s="12"/>
      <c r="I17" s="12"/>
      <c r="J17" s="12"/>
      <c r="K17" s="12"/>
      <c r="L17" s="12"/>
      <c r="M17" s="7">
        <f t="shared" si="1"/>
        <v>0</v>
      </c>
      <c r="N17" s="10"/>
      <c r="O17" s="7">
        <f t="shared" si="2"/>
        <v>320</v>
      </c>
      <c r="P17" s="23">
        <v>16.0</v>
      </c>
      <c r="Q17" s="7">
        <f t="shared" si="3"/>
        <v>360</v>
      </c>
      <c r="R17" s="4">
        <v>18.0</v>
      </c>
      <c r="S17" s="7">
        <f t="shared" si="4"/>
        <v>0</v>
      </c>
      <c r="T17" s="9"/>
      <c r="U17" s="7">
        <f t="shared" si="5"/>
        <v>50</v>
      </c>
      <c r="V17" s="23">
        <v>20.0</v>
      </c>
      <c r="W17" s="7">
        <f t="shared" si="6"/>
        <v>92.5</v>
      </c>
      <c r="X17" s="23">
        <v>185.0</v>
      </c>
      <c r="Y17" s="7">
        <f t="shared" si="7"/>
        <v>0</v>
      </c>
      <c r="Z17" s="10"/>
      <c r="AA17" s="7">
        <f t="shared" si="8"/>
        <v>0</v>
      </c>
      <c r="AB17" s="10"/>
      <c r="AC17" s="7">
        <f t="shared" si="10"/>
        <v>0</v>
      </c>
      <c r="AD17" s="10"/>
      <c r="AE17" s="7">
        <f t="shared" si="9"/>
        <v>0</v>
      </c>
      <c r="AF17" s="10"/>
      <c r="AG17" s="3"/>
      <c r="AH17" s="3"/>
      <c r="AI17" s="3"/>
      <c r="AJ17" s="3"/>
    </row>
    <row r="18">
      <c r="A18" s="23">
        <v>473.0</v>
      </c>
      <c r="B18" s="5">
        <v>46105.0</v>
      </c>
      <c r="C18" s="6" t="s">
        <v>39</v>
      </c>
      <c r="D18" s="7" t="s">
        <v>40</v>
      </c>
      <c r="E18" s="23">
        <v>800.0</v>
      </c>
      <c r="F18" s="8">
        <f>E18-G18-H18-I18-J18-L18</f>
        <v>725.7</v>
      </c>
      <c r="G18" s="23">
        <v>7.0</v>
      </c>
      <c r="H18" s="23">
        <v>11.0</v>
      </c>
      <c r="I18" s="23">
        <v>50.0</v>
      </c>
      <c r="J18" s="23">
        <v>0.3</v>
      </c>
      <c r="K18" s="23"/>
      <c r="L18" s="9">
        <v>6.0</v>
      </c>
      <c r="M18" s="7">
        <f t="shared" si="1"/>
        <v>0</v>
      </c>
      <c r="N18" s="10"/>
      <c r="O18" s="7">
        <f t="shared" si="2"/>
        <v>0</v>
      </c>
      <c r="P18" s="12"/>
      <c r="Q18" s="7">
        <f t="shared" si="3"/>
        <v>0</v>
      </c>
      <c r="R18" s="7"/>
      <c r="S18" s="7">
        <f t="shared" si="4"/>
        <v>0</v>
      </c>
      <c r="T18" s="10"/>
      <c r="U18" s="7">
        <f t="shared" si="5"/>
        <v>0</v>
      </c>
      <c r="V18" s="12"/>
      <c r="W18" s="7">
        <f t="shared" si="6"/>
        <v>0</v>
      </c>
      <c r="X18" s="12"/>
      <c r="Y18" s="7">
        <f t="shared" si="7"/>
        <v>8.4</v>
      </c>
      <c r="Z18" s="9">
        <v>6.0</v>
      </c>
      <c r="AA18" s="7">
        <f t="shared" si="8"/>
        <v>0</v>
      </c>
      <c r="AB18" s="10"/>
      <c r="AC18" s="7">
        <f t="shared" si="10"/>
        <v>0</v>
      </c>
      <c r="AD18" s="10"/>
      <c r="AE18" s="7">
        <f t="shared" si="9"/>
        <v>0</v>
      </c>
      <c r="AF18" s="10"/>
      <c r="AG18" s="3"/>
      <c r="AH18" s="3"/>
      <c r="AI18" s="3"/>
      <c r="AJ18" s="3"/>
    </row>
    <row r="19">
      <c r="A19" s="23">
        <v>475.0</v>
      </c>
      <c r="B19" s="5">
        <v>46107.0</v>
      </c>
      <c r="C19" s="6" t="s">
        <v>41</v>
      </c>
      <c r="D19" s="7" t="s">
        <v>40</v>
      </c>
      <c r="E19" s="23">
        <v>1020.0</v>
      </c>
      <c r="F19" s="8"/>
      <c r="G19" s="12"/>
      <c r="H19" s="12"/>
      <c r="I19" s="12"/>
      <c r="J19" s="12"/>
      <c r="K19" s="12"/>
      <c r="L19" s="12"/>
      <c r="M19" s="7">
        <f t="shared" si="1"/>
        <v>0</v>
      </c>
      <c r="N19" s="10"/>
      <c r="O19" s="7">
        <f t="shared" si="2"/>
        <v>200</v>
      </c>
      <c r="P19" s="23">
        <v>10.0</v>
      </c>
      <c r="Q19" s="7">
        <f t="shared" si="3"/>
        <v>180</v>
      </c>
      <c r="R19" s="4">
        <v>9.0</v>
      </c>
      <c r="S19" s="7">
        <f t="shared" si="4"/>
        <v>561</v>
      </c>
      <c r="T19" s="23">
        <v>102.0</v>
      </c>
      <c r="U19" s="7">
        <f t="shared" si="5"/>
        <v>35</v>
      </c>
      <c r="V19" s="4">
        <v>14.0</v>
      </c>
      <c r="W19" s="7">
        <f t="shared" si="6"/>
        <v>37</v>
      </c>
      <c r="X19" s="4">
        <v>74.0</v>
      </c>
      <c r="Y19" s="7">
        <f t="shared" si="7"/>
        <v>0</v>
      </c>
      <c r="Z19" s="9"/>
      <c r="AA19" s="7">
        <f t="shared" si="8"/>
        <v>0</v>
      </c>
      <c r="AB19" s="10"/>
      <c r="AC19" s="7">
        <f t="shared" si="10"/>
        <v>0</v>
      </c>
      <c r="AD19" s="10"/>
      <c r="AE19" s="7">
        <f t="shared" si="9"/>
        <v>0</v>
      </c>
      <c r="AF19" s="10"/>
      <c r="AG19" s="3"/>
      <c r="AH19" s="3"/>
      <c r="AI19" s="3"/>
      <c r="AJ19" s="3"/>
    </row>
    <row r="20">
      <c r="A20" s="23">
        <v>476.0</v>
      </c>
      <c r="B20" s="5">
        <v>46107.0</v>
      </c>
      <c r="C20" s="24" t="s">
        <v>41</v>
      </c>
      <c r="D20" s="7" t="s">
        <v>40</v>
      </c>
      <c r="E20" s="23">
        <v>1000.0</v>
      </c>
      <c r="F20" s="8"/>
      <c r="G20" s="10"/>
      <c r="H20" s="10"/>
      <c r="I20" s="10"/>
      <c r="J20" s="10"/>
      <c r="K20" s="10"/>
      <c r="L20" s="10"/>
      <c r="M20" s="7">
        <f t="shared" si="1"/>
        <v>0</v>
      </c>
      <c r="N20" s="10"/>
      <c r="O20" s="7">
        <f t="shared" si="2"/>
        <v>300</v>
      </c>
      <c r="P20" s="12">
        <v>15.0</v>
      </c>
      <c r="Q20" s="7">
        <f t="shared" si="3"/>
        <v>700</v>
      </c>
      <c r="R20" s="4">
        <v>35.0</v>
      </c>
      <c r="S20" s="7">
        <f t="shared" si="4"/>
        <v>0</v>
      </c>
      <c r="T20" s="12"/>
      <c r="U20" s="7">
        <f t="shared" si="5"/>
        <v>0</v>
      </c>
      <c r="V20" s="10"/>
      <c r="W20" s="7">
        <f t="shared" si="6"/>
        <v>0</v>
      </c>
      <c r="X20" s="12"/>
      <c r="Y20" s="7">
        <f t="shared" si="7"/>
        <v>0</v>
      </c>
      <c r="Z20" s="10"/>
      <c r="AA20" s="7">
        <f t="shared" si="8"/>
        <v>0</v>
      </c>
      <c r="AB20" s="10"/>
      <c r="AC20" s="7">
        <f t="shared" si="10"/>
        <v>0</v>
      </c>
      <c r="AD20" s="10"/>
      <c r="AE20" s="7">
        <f t="shared" si="9"/>
        <v>0</v>
      </c>
      <c r="AF20" s="10"/>
      <c r="AG20" s="3"/>
      <c r="AH20" s="3"/>
      <c r="AI20" s="3"/>
      <c r="AJ20" s="3"/>
    </row>
    <row r="21">
      <c r="A21" s="23">
        <v>478.0</v>
      </c>
      <c r="B21" s="5">
        <v>46108.0</v>
      </c>
      <c r="C21" s="6" t="s">
        <v>39</v>
      </c>
      <c r="D21" s="7" t="s">
        <v>40</v>
      </c>
      <c r="E21" s="23">
        <v>640.0</v>
      </c>
      <c r="F21" s="8">
        <f>E21-G21-H21-I21-J21-L21</f>
        <v>597.8</v>
      </c>
      <c r="G21" s="23">
        <v>8.0</v>
      </c>
      <c r="H21" s="23">
        <v>13.0</v>
      </c>
      <c r="I21" s="23">
        <v>18.0</v>
      </c>
      <c r="J21" s="23">
        <v>0.2</v>
      </c>
      <c r="K21" s="28"/>
      <c r="L21" s="23">
        <v>3.0</v>
      </c>
      <c r="M21" s="7">
        <f t="shared" si="1"/>
        <v>0</v>
      </c>
      <c r="N21" s="10"/>
      <c r="O21" s="7">
        <f t="shared" si="2"/>
        <v>0</v>
      </c>
      <c r="P21" s="12"/>
      <c r="Q21" s="7">
        <f t="shared" si="3"/>
        <v>0</v>
      </c>
      <c r="R21" s="7"/>
      <c r="S21" s="7">
        <f t="shared" si="4"/>
        <v>0</v>
      </c>
      <c r="T21" s="10"/>
      <c r="U21" s="7">
        <f t="shared" si="5"/>
        <v>0</v>
      </c>
      <c r="V21" s="10"/>
      <c r="W21" s="7">
        <f t="shared" si="6"/>
        <v>0</v>
      </c>
      <c r="X21" s="10"/>
      <c r="Y21" s="7">
        <f t="shared" si="7"/>
        <v>0</v>
      </c>
      <c r="Z21" s="10"/>
      <c r="AA21" s="7">
        <f t="shared" si="8"/>
        <v>0</v>
      </c>
      <c r="AB21" s="10"/>
      <c r="AC21" s="7">
        <f t="shared" si="10"/>
        <v>0</v>
      </c>
      <c r="AD21" s="10"/>
      <c r="AE21" s="7">
        <f t="shared" si="9"/>
        <v>0</v>
      </c>
      <c r="AF21" s="10"/>
      <c r="AG21" s="3"/>
      <c r="AH21" s="3"/>
      <c r="AI21" s="3"/>
      <c r="AJ21" s="3"/>
    </row>
    <row r="22">
      <c r="A22" s="12">
        <v>480.0</v>
      </c>
      <c r="B22" s="5">
        <v>46112.0</v>
      </c>
      <c r="C22" s="12" t="s">
        <v>41</v>
      </c>
      <c r="D22" s="7" t="s">
        <v>40</v>
      </c>
      <c r="E22" s="23">
        <v>890.0</v>
      </c>
      <c r="F22" s="8"/>
      <c r="G22" s="12"/>
      <c r="H22" s="12"/>
      <c r="I22" s="12"/>
      <c r="J22" s="12"/>
      <c r="K22" s="12"/>
      <c r="L22" s="12"/>
      <c r="M22" s="10"/>
      <c r="N22" s="10"/>
      <c r="O22" s="7">
        <f t="shared" si="2"/>
        <v>320</v>
      </c>
      <c r="P22" s="9">
        <v>16.0</v>
      </c>
      <c r="Q22" s="7">
        <f t="shared" si="3"/>
        <v>480</v>
      </c>
      <c r="R22" s="4">
        <v>24.0</v>
      </c>
      <c r="S22" s="7">
        <f t="shared" si="4"/>
        <v>0</v>
      </c>
      <c r="T22" s="10"/>
      <c r="U22" s="7">
        <f t="shared" si="5"/>
        <v>20</v>
      </c>
      <c r="V22" s="9">
        <v>8.0</v>
      </c>
      <c r="W22" s="7">
        <f t="shared" si="6"/>
        <v>67.5</v>
      </c>
      <c r="X22" s="9">
        <v>135.0</v>
      </c>
      <c r="Y22" s="7">
        <f t="shared" si="7"/>
        <v>0</v>
      </c>
      <c r="Z22" s="10"/>
      <c r="AA22" s="7">
        <f t="shared" si="8"/>
        <v>0</v>
      </c>
      <c r="AB22" s="10"/>
      <c r="AC22" s="7">
        <f t="shared" si="10"/>
        <v>0</v>
      </c>
      <c r="AD22" s="10"/>
      <c r="AE22" s="7">
        <f t="shared" si="9"/>
        <v>0</v>
      </c>
      <c r="AF22" s="10"/>
      <c r="AG22" s="3"/>
      <c r="AH22" s="3"/>
      <c r="AI22" s="3"/>
      <c r="AJ22" s="3"/>
    </row>
    <row r="23">
      <c r="A23" s="10"/>
      <c r="B23" s="5">
        <v>46112.0</v>
      </c>
      <c r="C23" s="10"/>
      <c r="D23" s="7" t="s">
        <v>40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7">
        <f t="shared" si="2"/>
        <v>0</v>
      </c>
      <c r="P23" s="10"/>
      <c r="Q23" s="7">
        <f t="shared" si="3"/>
        <v>0</v>
      </c>
      <c r="R23" s="7"/>
      <c r="S23" s="7">
        <f t="shared" si="4"/>
        <v>0</v>
      </c>
      <c r="T23" s="10"/>
      <c r="U23" s="7">
        <f t="shared" si="5"/>
        <v>0</v>
      </c>
      <c r="V23" s="10"/>
      <c r="W23" s="7">
        <f t="shared" si="6"/>
        <v>0</v>
      </c>
      <c r="X23" s="10"/>
      <c r="Y23" s="7">
        <f t="shared" si="7"/>
        <v>0</v>
      </c>
      <c r="Z23" s="10"/>
      <c r="AA23" s="7">
        <f t="shared" si="8"/>
        <v>0</v>
      </c>
      <c r="AB23" s="10"/>
      <c r="AC23" s="7">
        <f t="shared" si="10"/>
        <v>0</v>
      </c>
      <c r="AD23" s="10"/>
      <c r="AE23" s="7">
        <f t="shared" si="9"/>
        <v>0</v>
      </c>
      <c r="AF23" s="10"/>
      <c r="AG23" s="3"/>
      <c r="AH23" s="3"/>
      <c r="AI23" s="3"/>
      <c r="AJ23" s="3"/>
    </row>
    <row r="24">
      <c r="A24" s="32" t="s">
        <v>55</v>
      </c>
      <c r="B24" s="33"/>
      <c r="C24" s="33"/>
      <c r="D24" s="34"/>
      <c r="E24" s="35">
        <f>SUM(F24:AE24)</f>
        <v>18680.4</v>
      </c>
      <c r="F24" s="35">
        <f t="shared" ref="F24:AF24" si="11">SUM(F2:F23)</f>
        <v>4626.2</v>
      </c>
      <c r="G24" s="35">
        <f t="shared" si="11"/>
        <v>37.5</v>
      </c>
      <c r="H24" s="35">
        <f t="shared" si="11"/>
        <v>59.5</v>
      </c>
      <c r="I24" s="35">
        <f t="shared" si="11"/>
        <v>255</v>
      </c>
      <c r="J24" s="35">
        <f t="shared" si="11"/>
        <v>3.6</v>
      </c>
      <c r="K24" s="37">
        <f t="shared" si="11"/>
        <v>701</v>
      </c>
      <c r="L24" s="35">
        <f t="shared" si="11"/>
        <v>21.5</v>
      </c>
      <c r="M24" s="35">
        <f t="shared" si="11"/>
        <v>0</v>
      </c>
      <c r="N24" s="35">
        <f t="shared" si="11"/>
        <v>0</v>
      </c>
      <c r="O24" s="35">
        <f t="shared" si="11"/>
        <v>4800</v>
      </c>
      <c r="P24" s="35">
        <f t="shared" si="11"/>
        <v>240</v>
      </c>
      <c r="Q24" s="35">
        <f t="shared" si="11"/>
        <v>4640</v>
      </c>
      <c r="R24" s="35">
        <f t="shared" si="11"/>
        <v>232</v>
      </c>
      <c r="S24" s="35">
        <f t="shared" si="11"/>
        <v>858</v>
      </c>
      <c r="T24" s="35">
        <f t="shared" si="11"/>
        <v>156</v>
      </c>
      <c r="U24" s="35">
        <f t="shared" si="11"/>
        <v>622.5</v>
      </c>
      <c r="V24" s="35">
        <f t="shared" si="11"/>
        <v>249</v>
      </c>
      <c r="W24" s="35">
        <f t="shared" si="11"/>
        <v>382</v>
      </c>
      <c r="X24" s="35">
        <f t="shared" si="11"/>
        <v>764</v>
      </c>
      <c r="Y24" s="35">
        <f t="shared" si="11"/>
        <v>8.4</v>
      </c>
      <c r="Z24" s="35">
        <f t="shared" si="11"/>
        <v>6</v>
      </c>
      <c r="AA24" s="35">
        <f t="shared" si="11"/>
        <v>0</v>
      </c>
      <c r="AB24" s="35">
        <f t="shared" si="11"/>
        <v>0</v>
      </c>
      <c r="AC24" s="35">
        <f t="shared" si="11"/>
        <v>0</v>
      </c>
      <c r="AD24" s="35">
        <f t="shared" si="11"/>
        <v>0</v>
      </c>
      <c r="AE24" s="37">
        <f t="shared" si="11"/>
        <v>18.2</v>
      </c>
      <c r="AF24" s="35">
        <f t="shared" si="11"/>
        <v>8</v>
      </c>
      <c r="AG24" s="3"/>
      <c r="AH24" s="3"/>
      <c r="AI24" s="3"/>
      <c r="AJ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>
      <c r="A26" s="3"/>
      <c r="B26" s="13" t="s">
        <v>56</v>
      </c>
      <c r="C26" s="3"/>
      <c r="D26" s="3"/>
      <c r="E26" s="3"/>
      <c r="F26" s="3"/>
      <c r="G26" s="13" t="s">
        <v>57</v>
      </c>
      <c r="H26" s="38">
        <f>H24+I24+M24+U24+W24+AE24+L24</f>
        <v>1358.7</v>
      </c>
      <c r="I26" s="3"/>
      <c r="J26" s="13" t="s">
        <v>58</v>
      </c>
      <c r="K26" s="13"/>
      <c r="L26" s="38">
        <f>SUM(F24+G24)</f>
        <v>4663.7</v>
      </c>
      <c r="M26" s="3"/>
      <c r="N26" s="13" t="s">
        <v>59</v>
      </c>
      <c r="O26" s="38">
        <f>J24+AC24</f>
        <v>3.6</v>
      </c>
      <c r="P26" s="3"/>
      <c r="Q26" s="3"/>
      <c r="R26" s="3"/>
      <c r="S26" s="3"/>
      <c r="T26" s="3"/>
      <c r="U26" s="3"/>
      <c r="V26" s="3"/>
      <c r="W26" s="3"/>
      <c r="X26" s="3"/>
      <c r="Y26" s="41">
        <f t="shared" ref="Y26:Z26" si="12">SUM(Y24,AA24,AC24,AE24)</f>
        <v>26.6</v>
      </c>
      <c r="Z26" s="38">
        <f t="shared" si="12"/>
        <v>14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>
      <c r="A27" s="2" t="s">
        <v>16</v>
      </c>
      <c r="B27" s="2" t="s">
        <v>1</v>
      </c>
      <c r="C27" s="2" t="s">
        <v>61</v>
      </c>
      <c r="D27" s="2" t="s">
        <v>62</v>
      </c>
      <c r="E27" s="2" t="s">
        <v>63</v>
      </c>
      <c r="F27" s="3"/>
      <c r="G27" s="13" t="s">
        <v>64</v>
      </c>
      <c r="H27" s="13" t="s">
        <v>65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>
      <c r="A28" s="10"/>
      <c r="B28" s="31"/>
      <c r="C28" s="24" t="s">
        <v>66</v>
      </c>
      <c r="D28" s="10"/>
      <c r="E28" s="10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13" t="s">
        <v>67</v>
      </c>
      <c r="X28" s="38">
        <f>X24+V24</f>
        <v>1013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>
      <c r="A29" s="10"/>
      <c r="B29" s="31"/>
      <c r="C29" s="24" t="s">
        <v>66</v>
      </c>
      <c r="D29" s="10"/>
      <c r="E29" s="10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13" t="s">
        <v>68</v>
      </c>
      <c r="X29" s="38">
        <f>W24+U24</f>
        <v>1004.5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10"/>
      <c r="B30" s="31"/>
      <c r="C30" s="24" t="s">
        <v>66</v>
      </c>
      <c r="D30" s="10"/>
      <c r="E30" s="10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10"/>
      <c r="B31" s="31"/>
      <c r="C31" s="24" t="s">
        <v>66</v>
      </c>
      <c r="D31" s="10"/>
      <c r="E31" s="10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10"/>
      <c r="B32" s="31"/>
      <c r="C32" s="10"/>
      <c r="D32" s="7">
        <f>E32*20</f>
        <v>0</v>
      </c>
      <c r="E32" s="10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10"/>
      <c r="B33" s="31"/>
      <c r="C33" s="10"/>
      <c r="D33" s="10"/>
      <c r="E33" s="1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10"/>
      <c r="B34" s="31"/>
      <c r="C34" s="10"/>
      <c r="D34" s="10"/>
      <c r="E34" s="1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>
      <c r="A35" s="10"/>
      <c r="B35" s="31"/>
      <c r="C35" s="10"/>
      <c r="D35" s="10"/>
      <c r="E35" s="1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>
      <c r="A36" s="10"/>
      <c r="B36" s="31"/>
      <c r="C36" s="10"/>
      <c r="D36" s="10"/>
      <c r="E36" s="1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>
      <c r="A37" s="10"/>
      <c r="B37" s="31"/>
      <c r="C37" s="10"/>
      <c r="D37" s="10"/>
      <c r="E37" s="1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10"/>
      <c r="B38" s="31"/>
      <c r="C38" s="10"/>
      <c r="D38" s="10"/>
      <c r="E38" s="1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10"/>
      <c r="B39" s="31"/>
      <c r="C39" s="10"/>
      <c r="D39" s="10"/>
      <c r="E39" s="10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10"/>
      <c r="B40" s="31"/>
      <c r="C40" s="10"/>
      <c r="D40" s="10"/>
      <c r="E40" s="10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>
      <c r="A41" s="10"/>
      <c r="B41" s="31"/>
      <c r="C41" s="10"/>
      <c r="D41" s="10"/>
      <c r="E41" s="10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10"/>
      <c r="B42" s="31"/>
      <c r="C42" s="10"/>
      <c r="D42" s="10"/>
      <c r="E42" s="1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10"/>
      <c r="B43" s="31"/>
      <c r="C43" s="10"/>
      <c r="D43" s="10"/>
      <c r="E43" s="1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10"/>
      <c r="B44" s="31"/>
      <c r="C44" s="10"/>
      <c r="D44" s="10"/>
      <c r="E44" s="10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10"/>
      <c r="B45" s="31"/>
      <c r="C45" s="10"/>
      <c r="D45" s="10"/>
      <c r="E45" s="1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10"/>
      <c r="B46" s="31"/>
      <c r="C46" s="10"/>
      <c r="D46" s="10"/>
      <c r="E46" s="1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</row>
  </sheetData>
  <mergeCells count="1">
    <mergeCell ref="A24:D24"/>
  </mergeCells>
  <dataValidations>
    <dataValidation type="list" allowBlank="1" showErrorMessage="1" sqref="C28:C46">
      <formula1>"Palet,Carrete de Madera,Carrete Plástico,Tambores 120 lts"</formula1>
    </dataValidation>
    <dataValidation type="list" allowBlank="1" showErrorMessage="1" sqref="C2:C23">
      <formula1>"AREAS PRODUCTIVAS,bod, Apd, Ácido,puntos verdes y HSEC"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30</v>
      </c>
      <c r="L1" s="2" t="s">
        <v>10</v>
      </c>
      <c r="M1" s="2" t="s">
        <v>11</v>
      </c>
      <c r="N1" s="2" t="s">
        <v>12</v>
      </c>
      <c r="O1" s="2" t="s">
        <v>13</v>
      </c>
      <c r="P1" s="1" t="s">
        <v>31</v>
      </c>
      <c r="Q1" s="1" t="s">
        <v>32</v>
      </c>
      <c r="R1" s="1" t="s">
        <v>33</v>
      </c>
      <c r="S1" s="2" t="s">
        <v>15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1" t="s">
        <v>34</v>
      </c>
      <c r="AD1" s="1" t="s">
        <v>35</v>
      </c>
      <c r="AE1" s="2" t="s">
        <v>28</v>
      </c>
      <c r="AF1" s="2" t="s">
        <v>29</v>
      </c>
      <c r="AG1" s="1" t="s">
        <v>36</v>
      </c>
      <c r="AH1" s="1" t="s">
        <v>37</v>
      </c>
      <c r="AI1" s="1" t="s">
        <v>38</v>
      </c>
      <c r="AJ1" s="3"/>
    </row>
    <row r="2">
      <c r="A2" s="4">
        <v>483.0</v>
      </c>
      <c r="B2" s="5">
        <v>46114.0</v>
      </c>
      <c r="C2" s="6" t="s">
        <v>41</v>
      </c>
      <c r="D2" s="7" t="s">
        <v>40</v>
      </c>
      <c r="E2" s="4">
        <v>1000.0</v>
      </c>
      <c r="F2" s="8"/>
      <c r="G2" s="9"/>
      <c r="H2" s="9"/>
      <c r="I2" s="9"/>
      <c r="J2" s="9"/>
      <c r="K2" s="9"/>
      <c r="L2" s="10"/>
      <c r="M2" s="7"/>
      <c r="N2" s="10"/>
      <c r="O2" s="7">
        <f t="shared" ref="O2:O4" si="1">P2*25</f>
        <v>800</v>
      </c>
      <c r="P2" s="4">
        <v>32.0</v>
      </c>
      <c r="Q2" s="7">
        <f t="shared" ref="Q2:Q6" si="2">R2*25</f>
        <v>0</v>
      </c>
      <c r="R2" s="4"/>
      <c r="S2" s="7"/>
      <c r="T2" s="4"/>
      <c r="U2" s="7"/>
      <c r="V2" s="9"/>
      <c r="W2" s="7">
        <f t="shared" ref="W2:W4" si="3">X2*3.077</f>
        <v>200.005</v>
      </c>
      <c r="X2" s="4">
        <v>65.0</v>
      </c>
      <c r="Y2" s="7"/>
      <c r="Z2" s="10"/>
      <c r="AA2" s="7"/>
      <c r="AB2" s="10"/>
      <c r="AC2" s="7">
        <f t="shared" ref="AC2:AC12" si="4">AD2*21</f>
        <v>0</v>
      </c>
      <c r="AD2" s="7"/>
      <c r="AE2" s="7"/>
      <c r="AF2" s="10"/>
      <c r="AG2" s="10"/>
      <c r="AH2" s="10">
        <f t="shared" ref="AH2:AH15" si="5">13*AI2</f>
        <v>0</v>
      </c>
      <c r="AI2" s="10"/>
      <c r="AJ2" s="3"/>
    </row>
    <row r="3">
      <c r="A3" s="4">
        <v>484.0</v>
      </c>
      <c r="B3" s="5">
        <v>46114.0</v>
      </c>
      <c r="C3" s="6" t="s">
        <v>41</v>
      </c>
      <c r="D3" s="7" t="s">
        <v>40</v>
      </c>
      <c r="E3" s="4">
        <v>1450.0</v>
      </c>
      <c r="F3" s="8"/>
      <c r="G3" s="4"/>
      <c r="H3" s="4"/>
      <c r="I3" s="4"/>
      <c r="J3" s="4"/>
      <c r="K3" s="7"/>
      <c r="L3" s="9"/>
      <c r="M3" s="7"/>
      <c r="N3" s="10"/>
      <c r="O3" s="7">
        <f t="shared" si="1"/>
        <v>0</v>
      </c>
      <c r="P3" s="9">
        <v>0.0</v>
      </c>
      <c r="Q3" s="7">
        <f t="shared" si="2"/>
        <v>1120</v>
      </c>
      <c r="R3" s="4">
        <v>44.8</v>
      </c>
      <c r="S3" s="7">
        <f t="shared" ref="S3:S18" si="6">T3*5.5</f>
        <v>330</v>
      </c>
      <c r="T3" s="12">
        <v>60.0</v>
      </c>
      <c r="U3" s="7"/>
      <c r="V3" s="12"/>
      <c r="W3" s="7">
        <f t="shared" si="3"/>
        <v>0</v>
      </c>
      <c r="X3" s="12"/>
      <c r="Y3" s="7"/>
      <c r="Z3" s="10"/>
      <c r="AA3" s="7"/>
      <c r="AB3" s="10"/>
      <c r="AC3" s="7">
        <f t="shared" si="4"/>
        <v>0</v>
      </c>
      <c r="AD3" s="10"/>
      <c r="AE3" s="7"/>
      <c r="AF3" s="10"/>
      <c r="AG3" s="10"/>
      <c r="AH3" s="10">
        <f t="shared" si="5"/>
        <v>0</v>
      </c>
      <c r="AI3" s="10"/>
      <c r="AJ3" s="3"/>
    </row>
    <row r="4">
      <c r="A4" s="14"/>
      <c r="B4" s="15">
        <v>46116.0</v>
      </c>
      <c r="C4" s="16" t="s">
        <v>39</v>
      </c>
      <c r="D4" s="17" t="s">
        <v>40</v>
      </c>
      <c r="E4" s="14"/>
      <c r="F4" s="18"/>
      <c r="G4" s="19"/>
      <c r="H4" s="19"/>
      <c r="I4" s="19"/>
      <c r="J4" s="19"/>
      <c r="K4" s="19"/>
      <c r="L4" s="19"/>
      <c r="M4" s="17"/>
      <c r="N4" s="20"/>
      <c r="O4" s="7">
        <f t="shared" si="1"/>
        <v>0</v>
      </c>
      <c r="P4" s="21"/>
      <c r="Q4" s="7">
        <f t="shared" si="2"/>
        <v>0</v>
      </c>
      <c r="R4" s="21"/>
      <c r="S4" s="7">
        <f t="shared" si="6"/>
        <v>0</v>
      </c>
      <c r="T4" s="17"/>
      <c r="U4" s="17"/>
      <c r="V4" s="21"/>
      <c r="W4" s="7">
        <f t="shared" si="3"/>
        <v>0</v>
      </c>
      <c r="X4" s="21"/>
      <c r="Y4" s="17"/>
      <c r="Z4" s="20"/>
      <c r="AA4" s="17"/>
      <c r="AB4" s="20"/>
      <c r="AC4" s="7">
        <f t="shared" si="4"/>
        <v>0</v>
      </c>
      <c r="AD4" s="20"/>
      <c r="AE4" s="17"/>
      <c r="AF4" s="20"/>
      <c r="AG4" s="20"/>
      <c r="AH4" s="10">
        <f t="shared" si="5"/>
        <v>0</v>
      </c>
      <c r="AI4" s="20"/>
      <c r="AJ4" s="22"/>
    </row>
    <row r="5">
      <c r="A5" s="23">
        <v>487.0</v>
      </c>
      <c r="B5" s="5">
        <v>46119.0</v>
      </c>
      <c r="C5" s="24" t="s">
        <v>41</v>
      </c>
      <c r="D5" s="7" t="s">
        <v>40</v>
      </c>
      <c r="E5" s="23">
        <v>1200.0</v>
      </c>
      <c r="F5" s="8"/>
      <c r="G5" s="10"/>
      <c r="H5" s="10"/>
      <c r="I5" s="10"/>
      <c r="J5" s="10"/>
      <c r="K5" s="9">
        <v>147.0</v>
      </c>
      <c r="L5" s="10"/>
      <c r="M5" s="7"/>
      <c r="N5" s="12"/>
      <c r="O5" s="7">
        <f t="shared" ref="O5:O7" si="7">P5*20</f>
        <v>340</v>
      </c>
      <c r="P5" s="23">
        <v>17.0</v>
      </c>
      <c r="Q5" s="7">
        <f t="shared" si="2"/>
        <v>0</v>
      </c>
      <c r="R5" s="4"/>
      <c r="S5" s="7">
        <f t="shared" si="6"/>
        <v>401.5</v>
      </c>
      <c r="T5" s="12">
        <v>73.0</v>
      </c>
      <c r="U5" s="7">
        <f t="shared" ref="U5:U24" si="8">V5*2.5</f>
        <v>55</v>
      </c>
      <c r="V5" s="12">
        <v>22.0</v>
      </c>
      <c r="W5" s="7">
        <f t="shared" ref="W5:W18" si="9">X5*1.5</f>
        <v>256.5</v>
      </c>
      <c r="X5" s="12">
        <v>171.0</v>
      </c>
      <c r="Y5" s="7"/>
      <c r="Z5" s="10"/>
      <c r="AA5" s="7"/>
      <c r="AB5" s="10"/>
      <c r="AC5" s="7">
        <f t="shared" si="4"/>
        <v>0</v>
      </c>
      <c r="AD5" s="10"/>
      <c r="AE5" s="7"/>
      <c r="AF5" s="10"/>
      <c r="AG5" s="10"/>
      <c r="AH5" s="10">
        <f t="shared" si="5"/>
        <v>0</v>
      </c>
      <c r="AI5" s="10"/>
      <c r="AJ5" s="3"/>
    </row>
    <row r="6">
      <c r="A6" s="23">
        <v>488.0</v>
      </c>
      <c r="B6" s="5">
        <v>46119.0</v>
      </c>
      <c r="C6" s="6" t="s">
        <v>39</v>
      </c>
      <c r="D6" s="7" t="s">
        <v>40</v>
      </c>
      <c r="E6" s="23">
        <v>800.0</v>
      </c>
      <c r="F6" s="8">
        <f>(E6-(G6+H6+I6+J6+L6))</f>
        <v>755</v>
      </c>
      <c r="G6" s="9">
        <v>12.5</v>
      </c>
      <c r="H6" s="4">
        <v>8.5</v>
      </c>
      <c r="I6" s="4">
        <v>18.0</v>
      </c>
      <c r="J6" s="4">
        <v>1.0</v>
      </c>
      <c r="K6" s="4"/>
      <c r="L6" s="9">
        <v>5.0</v>
      </c>
      <c r="M6" s="7"/>
      <c r="N6" s="10"/>
      <c r="O6" s="7">
        <f t="shared" si="7"/>
        <v>0</v>
      </c>
      <c r="P6" s="12"/>
      <c r="Q6" s="7">
        <f t="shared" si="2"/>
        <v>0</v>
      </c>
      <c r="R6" s="7"/>
      <c r="S6" s="7">
        <f t="shared" si="6"/>
        <v>0</v>
      </c>
      <c r="T6" s="10"/>
      <c r="U6" s="7">
        <f t="shared" si="8"/>
        <v>0</v>
      </c>
      <c r="V6" s="10"/>
      <c r="W6" s="7">
        <f t="shared" si="9"/>
        <v>0</v>
      </c>
      <c r="X6" s="10"/>
      <c r="Y6" s="7"/>
      <c r="Z6" s="10"/>
      <c r="AA6" s="7"/>
      <c r="AB6" s="10"/>
      <c r="AC6" s="7">
        <f t="shared" si="4"/>
        <v>0</v>
      </c>
      <c r="AD6" s="10"/>
      <c r="AE6" s="7"/>
      <c r="AF6" s="10"/>
      <c r="AG6" s="10"/>
      <c r="AH6" s="10">
        <f t="shared" si="5"/>
        <v>0</v>
      </c>
      <c r="AI6" s="10"/>
      <c r="AJ6" s="3"/>
    </row>
    <row r="7">
      <c r="A7" s="23">
        <v>490.0</v>
      </c>
      <c r="B7" s="5">
        <v>46121.0</v>
      </c>
      <c r="C7" s="6" t="s">
        <v>41</v>
      </c>
      <c r="D7" s="7" t="s">
        <v>40</v>
      </c>
      <c r="E7" s="23">
        <v>970.0</v>
      </c>
      <c r="F7" s="8"/>
      <c r="G7" s="26"/>
      <c r="H7" s="12"/>
      <c r="I7" s="12"/>
      <c r="J7" s="12"/>
      <c r="K7" s="12"/>
      <c r="L7" s="12"/>
      <c r="M7" s="7"/>
      <c r="N7" s="10"/>
      <c r="O7" s="7">
        <f t="shared" si="7"/>
        <v>500</v>
      </c>
      <c r="P7" s="4">
        <v>25.0</v>
      </c>
      <c r="Q7" s="4">
        <v>210.0</v>
      </c>
      <c r="R7" s="4">
        <v>20.0</v>
      </c>
      <c r="S7" s="7">
        <f t="shared" si="6"/>
        <v>0</v>
      </c>
      <c r="T7" s="4"/>
      <c r="U7" s="7">
        <f t="shared" si="8"/>
        <v>260</v>
      </c>
      <c r="V7" s="4">
        <v>104.0</v>
      </c>
      <c r="W7" s="7">
        <f t="shared" si="9"/>
        <v>0</v>
      </c>
      <c r="X7" s="4"/>
      <c r="Y7" s="7"/>
      <c r="Z7" s="10"/>
      <c r="AA7" s="7"/>
      <c r="AB7" s="10"/>
      <c r="AC7" s="7">
        <f t="shared" si="4"/>
        <v>0</v>
      </c>
      <c r="AD7" s="10"/>
      <c r="AE7" s="7"/>
      <c r="AF7" s="10"/>
      <c r="AG7" s="10"/>
      <c r="AH7" s="10">
        <f t="shared" si="5"/>
        <v>0</v>
      </c>
      <c r="AI7" s="10"/>
      <c r="AJ7" s="3"/>
    </row>
    <row r="8">
      <c r="A8" s="23">
        <v>491.0</v>
      </c>
      <c r="B8" s="5">
        <v>46121.0</v>
      </c>
      <c r="C8" s="6" t="s">
        <v>41</v>
      </c>
      <c r="D8" s="7" t="s">
        <v>40</v>
      </c>
      <c r="E8" s="23">
        <v>1140.0</v>
      </c>
      <c r="F8" s="8"/>
      <c r="G8" s="4"/>
      <c r="H8" s="4"/>
      <c r="I8" s="4"/>
      <c r="J8" s="4"/>
      <c r="K8" s="4"/>
      <c r="L8" s="4"/>
      <c r="M8" s="7">
        <f t="shared" ref="M8:M18" si="10">N8*10</f>
        <v>10</v>
      </c>
      <c r="N8" s="9">
        <v>1.0</v>
      </c>
      <c r="O8" s="7">
        <f t="shared" ref="O8:O9" si="11">P8*25</f>
        <v>650</v>
      </c>
      <c r="P8" s="12">
        <v>26.0</v>
      </c>
      <c r="Q8" s="7">
        <f>R8*20</f>
        <v>480</v>
      </c>
      <c r="R8" s="4">
        <v>24.0</v>
      </c>
      <c r="S8" s="7">
        <f t="shared" si="6"/>
        <v>0</v>
      </c>
      <c r="T8" s="12"/>
      <c r="U8" s="7">
        <f t="shared" si="8"/>
        <v>0</v>
      </c>
      <c r="V8" s="12"/>
      <c r="W8" s="7">
        <f t="shared" si="9"/>
        <v>0</v>
      </c>
      <c r="X8" s="12"/>
      <c r="Y8" s="7"/>
      <c r="Z8" s="10"/>
      <c r="AA8" s="7"/>
      <c r="AB8" s="10"/>
      <c r="AC8" s="7">
        <f t="shared" si="4"/>
        <v>0</v>
      </c>
      <c r="AD8" s="10"/>
      <c r="AE8" s="7"/>
      <c r="AF8" s="10"/>
      <c r="AG8" s="10"/>
      <c r="AH8" s="10">
        <f t="shared" si="5"/>
        <v>0</v>
      </c>
      <c r="AI8" s="10"/>
      <c r="AJ8" s="3"/>
    </row>
    <row r="9">
      <c r="A9" s="23">
        <v>493.0</v>
      </c>
      <c r="B9" s="5">
        <v>46122.0</v>
      </c>
      <c r="C9" s="6" t="s">
        <v>39</v>
      </c>
      <c r="D9" s="7" t="s">
        <v>40</v>
      </c>
      <c r="E9" s="23">
        <v>690.0</v>
      </c>
      <c r="F9" s="8">
        <f>(E9-(G9+H9+I9+J9+L9))</f>
        <v>679.5</v>
      </c>
      <c r="G9" s="12">
        <v>2.5</v>
      </c>
      <c r="H9" s="12">
        <v>2.5</v>
      </c>
      <c r="I9" s="12">
        <v>4.5</v>
      </c>
      <c r="J9" s="12">
        <v>0.5</v>
      </c>
      <c r="K9" s="12"/>
      <c r="L9" s="12">
        <v>0.5</v>
      </c>
      <c r="M9" s="7">
        <f t="shared" si="10"/>
        <v>0</v>
      </c>
      <c r="N9" s="10"/>
      <c r="O9" s="7">
        <f t="shared" si="11"/>
        <v>0</v>
      </c>
      <c r="P9" s="4"/>
      <c r="Q9" s="7">
        <f>R9*25</f>
        <v>0</v>
      </c>
      <c r="R9" s="7"/>
      <c r="S9" s="7">
        <f t="shared" si="6"/>
        <v>0</v>
      </c>
      <c r="T9" s="4"/>
      <c r="U9" s="7">
        <f t="shared" si="8"/>
        <v>0</v>
      </c>
      <c r="V9" s="9"/>
      <c r="W9" s="7">
        <f t="shared" si="9"/>
        <v>0</v>
      </c>
      <c r="X9" s="9"/>
      <c r="Y9" s="7"/>
      <c r="Z9" s="10"/>
      <c r="AA9" s="7"/>
      <c r="AB9" s="10"/>
      <c r="AC9" s="7">
        <f t="shared" si="4"/>
        <v>0</v>
      </c>
      <c r="AD9" s="10"/>
      <c r="AE9" s="7"/>
      <c r="AF9" s="10"/>
      <c r="AG9" s="10"/>
      <c r="AH9" s="10">
        <f t="shared" si="5"/>
        <v>0</v>
      </c>
      <c r="AI9" s="10"/>
      <c r="AJ9" s="3"/>
    </row>
    <row r="10">
      <c r="A10" s="23">
        <v>495.0</v>
      </c>
      <c r="B10" s="5">
        <v>46126.0</v>
      </c>
      <c r="C10" s="24" t="s">
        <v>41</v>
      </c>
      <c r="D10" s="7" t="s">
        <v>40</v>
      </c>
      <c r="E10" s="23">
        <v>1080.0</v>
      </c>
      <c r="F10" s="8"/>
      <c r="G10" s="10"/>
      <c r="H10" s="9"/>
      <c r="I10" s="10"/>
      <c r="J10" s="10"/>
      <c r="K10" s="10"/>
      <c r="L10" s="10"/>
      <c r="M10" s="7">
        <f t="shared" si="10"/>
        <v>0</v>
      </c>
      <c r="N10" s="10"/>
      <c r="O10" s="7">
        <f>P10*20</f>
        <v>360</v>
      </c>
      <c r="P10" s="23">
        <v>18.0</v>
      </c>
      <c r="Q10" s="7">
        <f>R10*20</f>
        <v>260</v>
      </c>
      <c r="R10" s="4">
        <v>13.0</v>
      </c>
      <c r="S10" s="7">
        <f t="shared" si="6"/>
        <v>181.5</v>
      </c>
      <c r="T10" s="9">
        <v>33.0</v>
      </c>
      <c r="U10" s="7">
        <f t="shared" si="8"/>
        <v>25</v>
      </c>
      <c r="V10" s="9">
        <v>10.0</v>
      </c>
      <c r="W10" s="7">
        <f t="shared" si="9"/>
        <v>250.5</v>
      </c>
      <c r="X10" s="9">
        <v>167.0</v>
      </c>
      <c r="Y10" s="7"/>
      <c r="Z10" s="10"/>
      <c r="AA10" s="7"/>
      <c r="AB10" s="10"/>
      <c r="AC10" s="7">
        <f t="shared" si="4"/>
        <v>0</v>
      </c>
      <c r="AD10" s="10"/>
      <c r="AE10" s="7"/>
      <c r="AF10" s="10"/>
      <c r="AG10" s="10"/>
      <c r="AH10" s="10">
        <f t="shared" si="5"/>
        <v>0</v>
      </c>
      <c r="AI10" s="10"/>
      <c r="AJ10" s="3"/>
    </row>
    <row r="11">
      <c r="A11" s="23">
        <v>496.0</v>
      </c>
      <c r="B11" s="5">
        <v>46126.0</v>
      </c>
      <c r="C11" s="6" t="s">
        <v>39</v>
      </c>
      <c r="D11" s="7" t="s">
        <v>40</v>
      </c>
      <c r="E11" s="23">
        <v>420.0</v>
      </c>
      <c r="F11" s="8">
        <f>(E11-(G11+H11+I11+J11+L11))</f>
        <v>334.5</v>
      </c>
      <c r="G11" s="23">
        <v>68.0</v>
      </c>
      <c r="H11" s="23">
        <v>2.0</v>
      </c>
      <c r="I11" s="23">
        <v>14.0</v>
      </c>
      <c r="J11" s="23">
        <v>1.5</v>
      </c>
      <c r="K11" s="23"/>
      <c r="L11" s="9"/>
      <c r="M11" s="7">
        <f t="shared" si="10"/>
        <v>0</v>
      </c>
      <c r="N11" s="10"/>
      <c r="O11" s="7">
        <f t="shared" ref="O11:O14" si="12">P11*25</f>
        <v>0</v>
      </c>
      <c r="P11" s="12"/>
      <c r="Q11" s="7">
        <f>R11*25</f>
        <v>0</v>
      </c>
      <c r="R11" s="7"/>
      <c r="S11" s="7">
        <f t="shared" si="6"/>
        <v>0</v>
      </c>
      <c r="T11" s="10"/>
      <c r="U11" s="7">
        <f t="shared" si="8"/>
        <v>0</v>
      </c>
      <c r="V11" s="9"/>
      <c r="W11" s="7">
        <f t="shared" si="9"/>
        <v>0</v>
      </c>
      <c r="X11" s="9"/>
      <c r="Y11" s="7"/>
      <c r="Z11" s="10"/>
      <c r="AA11" s="7"/>
      <c r="AB11" s="10"/>
      <c r="AC11" s="7">
        <f t="shared" si="4"/>
        <v>0</v>
      </c>
      <c r="AD11" s="10"/>
      <c r="AE11" s="7"/>
      <c r="AF11" s="10"/>
      <c r="AG11" s="10"/>
      <c r="AH11" s="10">
        <f t="shared" si="5"/>
        <v>0</v>
      </c>
      <c r="AI11" s="10"/>
      <c r="AJ11" s="3"/>
    </row>
    <row r="12" ht="16.5" customHeight="1">
      <c r="A12" s="23">
        <v>498.0</v>
      </c>
      <c r="B12" s="5">
        <v>46128.0</v>
      </c>
      <c r="C12" s="6" t="s">
        <v>41</v>
      </c>
      <c r="D12" s="7" t="s">
        <v>40</v>
      </c>
      <c r="E12" s="23">
        <v>1000.0</v>
      </c>
      <c r="F12" s="8"/>
      <c r="G12" s="26"/>
      <c r="H12" s="12"/>
      <c r="I12" s="12"/>
      <c r="J12" s="10"/>
      <c r="K12" s="10"/>
      <c r="L12" s="10"/>
      <c r="M12" s="7">
        <f t="shared" si="10"/>
        <v>0</v>
      </c>
      <c r="N12" s="10"/>
      <c r="O12" s="7">
        <f t="shared" si="12"/>
        <v>500</v>
      </c>
      <c r="P12" s="23">
        <v>20.0</v>
      </c>
      <c r="Q12" s="7">
        <f>R12*20</f>
        <v>380</v>
      </c>
      <c r="R12" s="4">
        <v>19.0</v>
      </c>
      <c r="S12" s="7">
        <f t="shared" si="6"/>
        <v>0</v>
      </c>
      <c r="T12" s="23"/>
      <c r="U12" s="7">
        <f t="shared" si="8"/>
        <v>0</v>
      </c>
      <c r="V12" s="23"/>
      <c r="W12" s="7">
        <f t="shared" si="9"/>
        <v>114</v>
      </c>
      <c r="X12" s="23">
        <v>76.0</v>
      </c>
      <c r="Y12" s="7"/>
      <c r="Z12" s="10"/>
      <c r="AA12" s="7"/>
      <c r="AB12" s="10"/>
      <c r="AC12" s="7">
        <f t="shared" si="4"/>
        <v>0</v>
      </c>
      <c r="AD12" s="10"/>
      <c r="AE12" s="7"/>
      <c r="AF12" s="9"/>
      <c r="AG12" s="9"/>
      <c r="AH12" s="10">
        <f t="shared" si="5"/>
        <v>0</v>
      </c>
      <c r="AI12" s="9"/>
      <c r="AJ12" s="3"/>
    </row>
    <row r="13">
      <c r="A13" s="23">
        <v>499.0</v>
      </c>
      <c r="B13" s="5">
        <v>46128.0</v>
      </c>
      <c r="C13" s="6" t="s">
        <v>41</v>
      </c>
      <c r="D13" s="7" t="s">
        <v>40</v>
      </c>
      <c r="E13" s="23">
        <v>780.0</v>
      </c>
      <c r="F13" s="8"/>
      <c r="G13" s="23"/>
      <c r="H13" s="23"/>
      <c r="I13" s="23"/>
      <c r="J13" s="9"/>
      <c r="K13" s="10"/>
      <c r="L13" s="9"/>
      <c r="M13" s="7">
        <f t="shared" si="10"/>
        <v>0</v>
      </c>
      <c r="N13" s="10"/>
      <c r="O13" s="7">
        <f t="shared" si="12"/>
        <v>0</v>
      </c>
      <c r="P13" s="12"/>
      <c r="Q13" s="7">
        <f t="shared" ref="Q13:Q14" si="13">R13*25</f>
        <v>0</v>
      </c>
      <c r="R13" s="7"/>
      <c r="S13" s="7">
        <f t="shared" si="6"/>
        <v>0</v>
      </c>
      <c r="T13" s="12"/>
      <c r="U13" s="7">
        <f t="shared" si="8"/>
        <v>0</v>
      </c>
      <c r="V13" s="10"/>
      <c r="W13" s="7">
        <f t="shared" si="9"/>
        <v>0</v>
      </c>
      <c r="X13" s="12"/>
      <c r="Y13" s="7"/>
      <c r="Z13" s="10"/>
      <c r="AA13" s="7"/>
      <c r="AB13" s="10"/>
      <c r="AC13" s="4">
        <v>780.0</v>
      </c>
      <c r="AD13" s="9">
        <v>45.0</v>
      </c>
      <c r="AE13" s="7"/>
      <c r="AF13" s="10"/>
      <c r="AG13" s="10"/>
      <c r="AH13" s="10">
        <f t="shared" si="5"/>
        <v>0</v>
      </c>
      <c r="AI13" s="10"/>
      <c r="AJ13" s="3"/>
    </row>
    <row r="14">
      <c r="A14" s="29" t="s">
        <v>45</v>
      </c>
      <c r="B14" s="5">
        <v>46129.0</v>
      </c>
      <c r="C14" s="6" t="s">
        <v>39</v>
      </c>
      <c r="D14" s="7" t="s">
        <v>40</v>
      </c>
      <c r="E14" s="23">
        <v>940.0</v>
      </c>
      <c r="F14" s="8">
        <f>(E14-(G14+H14+I14+J14+L14))</f>
        <v>779.5</v>
      </c>
      <c r="G14" s="12">
        <v>85.0</v>
      </c>
      <c r="H14" s="12">
        <v>11.0</v>
      </c>
      <c r="I14" s="12">
        <v>60.0</v>
      </c>
      <c r="J14" s="12">
        <v>0.5</v>
      </c>
      <c r="K14" s="12"/>
      <c r="L14" s="9">
        <v>4.0</v>
      </c>
      <c r="M14" s="7">
        <f t="shared" si="10"/>
        <v>0</v>
      </c>
      <c r="N14" s="10"/>
      <c r="O14" s="7">
        <f t="shared" si="12"/>
        <v>0</v>
      </c>
      <c r="P14" s="4"/>
      <c r="Q14" s="7">
        <f t="shared" si="13"/>
        <v>0</v>
      </c>
      <c r="R14" s="4"/>
      <c r="S14" s="7">
        <f t="shared" si="6"/>
        <v>0</v>
      </c>
      <c r="T14" s="7"/>
      <c r="U14" s="7">
        <f t="shared" si="8"/>
        <v>0</v>
      </c>
      <c r="V14" s="7"/>
      <c r="W14" s="7">
        <f t="shared" si="9"/>
        <v>0</v>
      </c>
      <c r="X14" s="10"/>
      <c r="Y14" s="7"/>
      <c r="Z14" s="10"/>
      <c r="AA14" s="7"/>
      <c r="AB14" s="10"/>
      <c r="AC14" s="7">
        <f t="shared" ref="AC14:AC23" si="14">AD14*21</f>
        <v>0</v>
      </c>
      <c r="AD14" s="10"/>
      <c r="AE14" s="7"/>
      <c r="AF14" s="10"/>
      <c r="AG14" s="10"/>
      <c r="AH14" s="10">
        <f t="shared" si="5"/>
        <v>0</v>
      </c>
      <c r="AI14" s="10"/>
      <c r="AJ14" s="3"/>
    </row>
    <row r="15" ht="15.0" customHeight="1">
      <c r="A15" s="29" t="s">
        <v>46</v>
      </c>
      <c r="B15" s="5">
        <v>46133.0</v>
      </c>
      <c r="C15" s="24" t="s">
        <v>41</v>
      </c>
      <c r="D15" s="7" t="s">
        <v>40</v>
      </c>
      <c r="E15" s="23">
        <v>950.0</v>
      </c>
      <c r="F15" s="8"/>
      <c r="G15" s="10"/>
      <c r="H15" s="10"/>
      <c r="I15" s="10"/>
      <c r="J15" s="10"/>
      <c r="K15" s="10"/>
      <c r="L15" s="10"/>
      <c r="M15" s="7">
        <f t="shared" si="10"/>
        <v>0</v>
      </c>
      <c r="N15" s="10"/>
      <c r="O15" s="7">
        <f>P15*20</f>
        <v>380</v>
      </c>
      <c r="P15" s="12">
        <v>19.0</v>
      </c>
      <c r="Q15" s="4">
        <v>111.5</v>
      </c>
      <c r="R15" s="4"/>
      <c r="S15" s="7">
        <f t="shared" si="6"/>
        <v>88</v>
      </c>
      <c r="T15" s="9">
        <v>16.0</v>
      </c>
      <c r="U15" s="7">
        <f t="shared" si="8"/>
        <v>0</v>
      </c>
      <c r="V15" s="9"/>
      <c r="W15" s="7">
        <f t="shared" si="9"/>
        <v>370.5</v>
      </c>
      <c r="X15" s="9">
        <v>247.0</v>
      </c>
      <c r="Y15" s="7"/>
      <c r="Z15" s="10"/>
      <c r="AA15" s="7"/>
      <c r="AB15" s="10"/>
      <c r="AC15" s="7">
        <f t="shared" si="14"/>
        <v>0</v>
      </c>
      <c r="AD15" s="10"/>
      <c r="AE15" s="7"/>
      <c r="AF15" s="10"/>
      <c r="AG15" s="10"/>
      <c r="AH15" s="10">
        <f t="shared" si="5"/>
        <v>0</v>
      </c>
      <c r="AI15" s="10"/>
      <c r="AJ15" s="3"/>
    </row>
    <row r="16">
      <c r="A16" s="29" t="s">
        <v>47</v>
      </c>
      <c r="B16" s="5">
        <v>46133.0</v>
      </c>
      <c r="C16" s="6" t="s">
        <v>39</v>
      </c>
      <c r="D16" s="7" t="s">
        <v>40</v>
      </c>
      <c r="E16" s="23">
        <v>600.0</v>
      </c>
      <c r="F16" s="8">
        <f>(E16-(G16+H16+I16+J16+L16))</f>
        <v>580</v>
      </c>
      <c r="G16" s="23">
        <v>5.5</v>
      </c>
      <c r="H16" s="23">
        <v>3.5</v>
      </c>
      <c r="I16" s="23">
        <v>8.0</v>
      </c>
      <c r="J16" s="9">
        <v>0.5</v>
      </c>
      <c r="K16" s="9"/>
      <c r="L16" s="9">
        <v>2.5</v>
      </c>
      <c r="M16" s="7">
        <f t="shared" si="10"/>
        <v>0</v>
      </c>
      <c r="N16" s="10"/>
      <c r="O16" s="7">
        <f t="shared" ref="O16:O24" si="15">P16*25</f>
        <v>0</v>
      </c>
      <c r="P16" s="12"/>
      <c r="Q16" s="7">
        <f t="shared" ref="Q16:Q20" si="16">R16*25</f>
        <v>0</v>
      </c>
      <c r="R16" s="7"/>
      <c r="S16" s="7">
        <f t="shared" si="6"/>
        <v>0</v>
      </c>
      <c r="T16" s="10"/>
      <c r="U16" s="7">
        <f t="shared" si="8"/>
        <v>2096.25</v>
      </c>
      <c r="V16" s="10">
        <f>W15+S15+O15</f>
        <v>838.5</v>
      </c>
      <c r="W16" s="7">
        <f t="shared" si="9"/>
        <v>0</v>
      </c>
      <c r="X16" s="9"/>
      <c r="Y16" s="7"/>
      <c r="Z16" s="10"/>
      <c r="AA16" s="7"/>
      <c r="AB16" s="10"/>
      <c r="AC16" s="7">
        <f t="shared" si="14"/>
        <v>0</v>
      </c>
      <c r="AD16" s="10"/>
      <c r="AE16" s="7"/>
      <c r="AF16" s="10"/>
      <c r="AG16" s="9">
        <v>0.5</v>
      </c>
      <c r="AH16" s="10"/>
      <c r="AI16" s="9"/>
      <c r="AJ16" s="3"/>
    </row>
    <row r="17">
      <c r="A17" s="29"/>
      <c r="B17" s="5">
        <v>46133.0</v>
      </c>
      <c r="C17" s="6" t="s">
        <v>41</v>
      </c>
      <c r="D17" s="7" t="s">
        <v>40</v>
      </c>
      <c r="E17" s="23"/>
      <c r="F17" s="8"/>
      <c r="G17" s="12"/>
      <c r="H17" s="12"/>
      <c r="I17" s="12"/>
      <c r="J17" s="12"/>
      <c r="K17" s="12"/>
      <c r="L17" s="12"/>
      <c r="M17" s="7">
        <f t="shared" si="10"/>
        <v>0</v>
      </c>
      <c r="N17" s="10"/>
      <c r="O17" s="7">
        <f t="shared" si="15"/>
        <v>0</v>
      </c>
      <c r="P17" s="23"/>
      <c r="Q17" s="7">
        <f t="shared" si="16"/>
        <v>0</v>
      </c>
      <c r="R17" s="4"/>
      <c r="S17" s="7">
        <f t="shared" si="6"/>
        <v>0</v>
      </c>
      <c r="T17" s="9"/>
      <c r="U17" s="7">
        <f t="shared" si="8"/>
        <v>0</v>
      </c>
      <c r="V17" s="23"/>
      <c r="W17" s="7">
        <f t="shared" si="9"/>
        <v>0</v>
      </c>
      <c r="X17" s="23"/>
      <c r="Y17" s="7"/>
      <c r="Z17" s="10"/>
      <c r="AA17" s="7"/>
      <c r="AB17" s="10"/>
      <c r="AC17" s="7">
        <f t="shared" si="14"/>
        <v>0</v>
      </c>
      <c r="AD17" s="10"/>
      <c r="AE17" s="7"/>
      <c r="AF17" s="10"/>
      <c r="AG17" s="10"/>
      <c r="AH17" s="10">
        <f t="shared" ref="AH17:AH20" si="17">13*AI17</f>
        <v>0</v>
      </c>
      <c r="AI17" s="10"/>
      <c r="AJ17" s="3"/>
    </row>
    <row r="18">
      <c r="A18" s="29" t="s">
        <v>48</v>
      </c>
      <c r="B18" s="5">
        <v>46135.0</v>
      </c>
      <c r="C18" s="6" t="s">
        <v>41</v>
      </c>
      <c r="D18" s="7" t="s">
        <v>40</v>
      </c>
      <c r="E18" s="23">
        <v>1000.0</v>
      </c>
      <c r="F18" s="8"/>
      <c r="G18" s="23"/>
      <c r="H18" s="23"/>
      <c r="I18" s="23"/>
      <c r="J18" s="23"/>
      <c r="K18" s="23"/>
      <c r="L18" s="9"/>
      <c r="M18" s="7">
        <f t="shared" si="10"/>
        <v>0</v>
      </c>
      <c r="N18" s="10"/>
      <c r="O18" s="7">
        <f t="shared" si="15"/>
        <v>0</v>
      </c>
      <c r="P18" s="12"/>
      <c r="Q18" s="7">
        <f t="shared" si="16"/>
        <v>0</v>
      </c>
      <c r="R18" s="7"/>
      <c r="S18" s="7">
        <f t="shared" si="6"/>
        <v>0</v>
      </c>
      <c r="T18" s="10"/>
      <c r="U18" s="7">
        <f t="shared" si="8"/>
        <v>0</v>
      </c>
      <c r="V18" s="12"/>
      <c r="W18" s="7">
        <f t="shared" si="9"/>
        <v>0</v>
      </c>
      <c r="X18" s="12"/>
      <c r="Y18" s="7"/>
      <c r="Z18" s="9"/>
      <c r="AA18" s="7"/>
      <c r="AB18" s="10"/>
      <c r="AC18" s="7">
        <f t="shared" si="14"/>
        <v>945</v>
      </c>
      <c r="AD18" s="9">
        <v>45.0</v>
      </c>
      <c r="AE18" s="7"/>
      <c r="AF18" s="10"/>
      <c r="AG18" s="10"/>
      <c r="AH18" s="10">
        <f t="shared" si="17"/>
        <v>0</v>
      </c>
      <c r="AI18" s="10"/>
      <c r="AJ18" s="3"/>
    </row>
    <row r="19">
      <c r="A19" s="29" t="s">
        <v>49</v>
      </c>
      <c r="B19" s="5">
        <v>46135.0</v>
      </c>
      <c r="C19" s="6" t="s">
        <v>41</v>
      </c>
      <c r="D19" s="7" t="s">
        <v>40</v>
      </c>
      <c r="E19" s="23">
        <v>1000.0</v>
      </c>
      <c r="F19" s="8"/>
      <c r="G19" s="12"/>
      <c r="H19" s="12"/>
      <c r="I19" s="12"/>
      <c r="J19" s="12"/>
      <c r="K19" s="12"/>
      <c r="L19" s="12"/>
      <c r="M19" s="7"/>
      <c r="N19" s="10"/>
      <c r="O19" s="7">
        <f t="shared" si="15"/>
        <v>200</v>
      </c>
      <c r="P19" s="23">
        <v>8.0</v>
      </c>
      <c r="Q19" s="7">
        <f t="shared" si="16"/>
        <v>607.5</v>
      </c>
      <c r="R19" s="4">
        <v>24.3</v>
      </c>
      <c r="S19" s="7"/>
      <c r="T19" s="23"/>
      <c r="U19" s="7">
        <f t="shared" si="8"/>
        <v>195</v>
      </c>
      <c r="V19" s="4">
        <v>78.0</v>
      </c>
      <c r="W19" s="7"/>
      <c r="X19" s="4"/>
      <c r="Y19" s="7"/>
      <c r="Z19" s="9"/>
      <c r="AA19" s="7"/>
      <c r="AB19" s="10"/>
      <c r="AC19" s="7">
        <f t="shared" si="14"/>
        <v>0</v>
      </c>
      <c r="AD19" s="10"/>
      <c r="AE19" s="7"/>
      <c r="AF19" s="10"/>
      <c r="AG19" s="10"/>
      <c r="AH19" s="10">
        <f t="shared" si="17"/>
        <v>0</v>
      </c>
      <c r="AI19" s="10"/>
      <c r="AJ19" s="3"/>
    </row>
    <row r="20">
      <c r="A20" s="29" t="s">
        <v>50</v>
      </c>
      <c r="B20" s="5">
        <v>46136.0</v>
      </c>
      <c r="C20" s="6" t="s">
        <v>39</v>
      </c>
      <c r="D20" s="7" t="s">
        <v>40</v>
      </c>
      <c r="E20" s="23">
        <v>680.0</v>
      </c>
      <c r="F20" s="8">
        <f>(E20-(G20+H20+I20+J20+L20))</f>
        <v>654</v>
      </c>
      <c r="G20" s="12">
        <v>5.0</v>
      </c>
      <c r="H20" s="12">
        <v>1.0</v>
      </c>
      <c r="I20" s="12">
        <v>17.0</v>
      </c>
      <c r="J20" s="12"/>
      <c r="K20" s="12"/>
      <c r="L20" s="12">
        <v>3.0</v>
      </c>
      <c r="M20" s="7">
        <f t="shared" ref="M20:M24" si="18">N20*10</f>
        <v>0</v>
      </c>
      <c r="N20" s="10"/>
      <c r="O20" s="7">
        <f t="shared" si="15"/>
        <v>0</v>
      </c>
      <c r="P20" s="23"/>
      <c r="Q20" s="7">
        <f t="shared" si="16"/>
        <v>0</v>
      </c>
      <c r="R20" s="4"/>
      <c r="S20" s="7">
        <f t="shared" ref="S20:S24" si="19">T20*5.5</f>
        <v>0</v>
      </c>
      <c r="T20" s="23"/>
      <c r="U20" s="7">
        <f t="shared" si="8"/>
        <v>0</v>
      </c>
      <c r="V20" s="4"/>
      <c r="W20" s="7">
        <f t="shared" ref="W20:W24" si="20">X20*1.5</f>
        <v>0</v>
      </c>
      <c r="X20" s="4"/>
      <c r="Y20" s="7"/>
      <c r="Z20" s="9"/>
      <c r="AA20" s="7"/>
      <c r="AB20" s="10"/>
      <c r="AC20" s="7">
        <f t="shared" si="14"/>
        <v>0</v>
      </c>
      <c r="AD20" s="10"/>
      <c r="AE20" s="7"/>
      <c r="AF20" s="10"/>
      <c r="AG20" s="10"/>
      <c r="AH20" s="10">
        <f t="shared" si="17"/>
        <v>0</v>
      </c>
      <c r="AI20" s="10"/>
      <c r="AJ20" s="3"/>
    </row>
    <row r="21">
      <c r="A21" s="29" t="s">
        <v>51</v>
      </c>
      <c r="B21" s="5">
        <v>46140.0</v>
      </c>
      <c r="C21" s="24" t="s">
        <v>41</v>
      </c>
      <c r="D21" s="7" t="s">
        <v>40</v>
      </c>
      <c r="E21" s="23">
        <v>1110.0</v>
      </c>
      <c r="F21" s="8"/>
      <c r="G21" s="10"/>
      <c r="H21" s="10"/>
      <c r="I21" s="10"/>
      <c r="J21" s="10"/>
      <c r="K21" s="10"/>
      <c r="L21" s="10"/>
      <c r="M21" s="7">
        <f t="shared" si="18"/>
        <v>0</v>
      </c>
      <c r="N21" s="10"/>
      <c r="O21" s="7">
        <f t="shared" si="15"/>
        <v>100</v>
      </c>
      <c r="P21" s="12">
        <v>4.0</v>
      </c>
      <c r="Q21" s="7">
        <f>R21*20</f>
        <v>0</v>
      </c>
      <c r="R21" s="4"/>
      <c r="S21" s="7">
        <f t="shared" si="19"/>
        <v>214.5</v>
      </c>
      <c r="T21" s="12">
        <v>39.0</v>
      </c>
      <c r="U21" s="7">
        <f t="shared" si="8"/>
        <v>30</v>
      </c>
      <c r="V21" s="9">
        <v>12.0</v>
      </c>
      <c r="W21" s="7">
        <f t="shared" si="20"/>
        <v>66</v>
      </c>
      <c r="X21" s="12">
        <v>44.0</v>
      </c>
      <c r="Y21" s="7"/>
      <c r="Z21" s="10"/>
      <c r="AA21" s="7"/>
      <c r="AB21" s="10"/>
      <c r="AC21" s="7">
        <f t="shared" si="14"/>
        <v>0</v>
      </c>
      <c r="AD21" s="10"/>
      <c r="AE21" s="7"/>
      <c r="AF21" s="10"/>
      <c r="AG21" s="10"/>
      <c r="AH21" s="10">
        <f>20*AI21</f>
        <v>360</v>
      </c>
      <c r="AI21" s="9">
        <v>18.0</v>
      </c>
      <c r="AJ21" s="3"/>
    </row>
    <row r="22">
      <c r="A22" s="29" t="s">
        <v>52</v>
      </c>
      <c r="B22" s="5">
        <v>46140.0</v>
      </c>
      <c r="C22" s="6" t="s">
        <v>39</v>
      </c>
      <c r="D22" s="7" t="s">
        <v>40</v>
      </c>
      <c r="E22" s="23">
        <v>820.0</v>
      </c>
      <c r="F22" s="8">
        <f>(E22-(G22+H22+I22+J22+L22))</f>
        <v>750</v>
      </c>
      <c r="G22" s="23">
        <v>7.0</v>
      </c>
      <c r="H22" s="23">
        <v>2.5</v>
      </c>
      <c r="I22" s="23">
        <v>52.0</v>
      </c>
      <c r="J22" s="23"/>
      <c r="K22" s="28"/>
      <c r="L22" s="23">
        <v>8.5</v>
      </c>
      <c r="M22" s="7">
        <f t="shared" si="18"/>
        <v>0</v>
      </c>
      <c r="N22" s="10"/>
      <c r="O22" s="7">
        <f t="shared" si="15"/>
        <v>0</v>
      </c>
      <c r="P22" s="12"/>
      <c r="Q22" s="7">
        <f t="shared" ref="Q22:Q24" si="21">R22*25</f>
        <v>0</v>
      </c>
      <c r="R22" s="7"/>
      <c r="S22" s="7">
        <f t="shared" si="19"/>
        <v>0</v>
      </c>
      <c r="T22" s="10"/>
      <c r="U22" s="7">
        <f t="shared" si="8"/>
        <v>0</v>
      </c>
      <c r="V22" s="10"/>
      <c r="W22" s="7">
        <f t="shared" si="20"/>
        <v>0</v>
      </c>
      <c r="X22" s="10"/>
      <c r="Y22" s="7"/>
      <c r="Z22" s="10"/>
      <c r="AA22" s="7"/>
      <c r="AB22" s="10"/>
      <c r="AC22" s="7">
        <f t="shared" si="14"/>
        <v>0</v>
      </c>
      <c r="AD22" s="10"/>
      <c r="AE22" s="7"/>
      <c r="AF22" s="10"/>
      <c r="AG22" s="10"/>
      <c r="AH22" s="10">
        <f t="shared" ref="AH22:AH24" si="22">13*AI22</f>
        <v>0</v>
      </c>
      <c r="AI22" s="10"/>
      <c r="AJ22" s="3"/>
    </row>
    <row r="23">
      <c r="A23" s="29" t="s">
        <v>53</v>
      </c>
      <c r="B23" s="5">
        <v>46142.0</v>
      </c>
      <c r="C23" s="12" t="s">
        <v>41</v>
      </c>
      <c r="D23" s="7" t="s">
        <v>40</v>
      </c>
      <c r="E23" s="23">
        <v>1150.0</v>
      </c>
      <c r="F23" s="8"/>
      <c r="G23" s="12"/>
      <c r="H23" s="12"/>
      <c r="I23" s="12"/>
      <c r="J23" s="12"/>
      <c r="K23" s="12"/>
      <c r="L23" s="12"/>
      <c r="M23" s="7">
        <f t="shared" si="18"/>
        <v>0</v>
      </c>
      <c r="N23" s="10"/>
      <c r="O23" s="7">
        <f t="shared" si="15"/>
        <v>425</v>
      </c>
      <c r="P23" s="9">
        <v>17.0</v>
      </c>
      <c r="Q23" s="7">
        <f t="shared" si="21"/>
        <v>415</v>
      </c>
      <c r="R23" s="4">
        <v>16.6</v>
      </c>
      <c r="S23" s="7">
        <f t="shared" si="19"/>
        <v>187</v>
      </c>
      <c r="T23" s="9">
        <v>34.0</v>
      </c>
      <c r="U23" s="7">
        <f t="shared" si="8"/>
        <v>0</v>
      </c>
      <c r="V23" s="9"/>
      <c r="W23" s="7">
        <f t="shared" si="20"/>
        <v>123</v>
      </c>
      <c r="X23" s="9">
        <v>82.0</v>
      </c>
      <c r="Y23" s="7"/>
      <c r="Z23" s="10"/>
      <c r="AA23" s="7"/>
      <c r="AB23" s="10"/>
      <c r="AC23" s="7">
        <f t="shared" si="14"/>
        <v>0</v>
      </c>
      <c r="AD23" s="10"/>
      <c r="AE23" s="7"/>
      <c r="AF23" s="10"/>
      <c r="AG23" s="10"/>
      <c r="AH23" s="10">
        <f t="shared" si="22"/>
        <v>0</v>
      </c>
      <c r="AI23" s="10"/>
      <c r="AJ23" s="3">
        <f>735-1150</f>
        <v>-415</v>
      </c>
    </row>
    <row r="24">
      <c r="A24" s="29" t="s">
        <v>54</v>
      </c>
      <c r="B24" s="5">
        <v>46142.0</v>
      </c>
      <c r="C24" s="9" t="s">
        <v>41</v>
      </c>
      <c r="D24" s="7" t="s">
        <v>40</v>
      </c>
      <c r="E24" s="9">
        <v>1000.0</v>
      </c>
      <c r="F24" s="8"/>
      <c r="G24" s="10"/>
      <c r="H24" s="10"/>
      <c r="I24" s="10"/>
      <c r="J24" s="10"/>
      <c r="K24" s="10"/>
      <c r="L24" s="10"/>
      <c r="M24" s="7">
        <f t="shared" si="18"/>
        <v>0</v>
      </c>
      <c r="N24" s="10"/>
      <c r="O24" s="7">
        <f t="shared" si="15"/>
        <v>0</v>
      </c>
      <c r="P24" s="10"/>
      <c r="Q24" s="7">
        <f t="shared" si="21"/>
        <v>0</v>
      </c>
      <c r="R24" s="7"/>
      <c r="S24" s="7">
        <f t="shared" si="19"/>
        <v>0</v>
      </c>
      <c r="T24" s="10"/>
      <c r="U24" s="7">
        <f t="shared" si="8"/>
        <v>0</v>
      </c>
      <c r="V24" s="10"/>
      <c r="W24" s="7">
        <f t="shared" si="20"/>
        <v>0</v>
      </c>
      <c r="X24" s="10"/>
      <c r="Y24" s="7"/>
      <c r="Z24" s="10"/>
      <c r="AA24" s="7"/>
      <c r="AB24" s="10"/>
      <c r="AC24" s="4">
        <v>1000.0</v>
      </c>
      <c r="AD24" s="12">
        <v>45.0</v>
      </c>
      <c r="AE24" s="7"/>
      <c r="AF24" s="10"/>
      <c r="AG24" s="10"/>
      <c r="AH24" s="10">
        <f t="shared" si="22"/>
        <v>0</v>
      </c>
      <c r="AI24" s="10"/>
      <c r="AJ24" s="3"/>
    </row>
    <row r="25">
      <c r="A25" s="32" t="s">
        <v>55</v>
      </c>
      <c r="B25" s="33"/>
      <c r="C25" s="33"/>
      <c r="D25" s="34"/>
      <c r="E25" s="35">
        <f>SUM(F25:AE25)</f>
        <v>23770.455</v>
      </c>
      <c r="F25" s="36">
        <f t="shared" ref="F25:AI25" si="23">SUM(F2:F24)</f>
        <v>4532.5</v>
      </c>
      <c r="G25" s="36">
        <f t="shared" si="23"/>
        <v>185.5</v>
      </c>
      <c r="H25" s="36">
        <f t="shared" si="23"/>
        <v>31</v>
      </c>
      <c r="I25" s="36">
        <f t="shared" si="23"/>
        <v>173.5</v>
      </c>
      <c r="J25" s="37">
        <f t="shared" si="23"/>
        <v>4</v>
      </c>
      <c r="K25" s="37">
        <f t="shared" si="23"/>
        <v>147</v>
      </c>
      <c r="L25" s="35">
        <f t="shared" si="23"/>
        <v>23.5</v>
      </c>
      <c r="M25" s="35">
        <f t="shared" si="23"/>
        <v>10</v>
      </c>
      <c r="N25" s="35">
        <f t="shared" si="23"/>
        <v>1</v>
      </c>
      <c r="O25" s="35">
        <f t="shared" si="23"/>
        <v>4255</v>
      </c>
      <c r="P25" s="35">
        <f t="shared" si="23"/>
        <v>186</v>
      </c>
      <c r="Q25" s="35">
        <f t="shared" si="23"/>
        <v>3584</v>
      </c>
      <c r="R25" s="35">
        <f t="shared" si="23"/>
        <v>161.7</v>
      </c>
      <c r="S25" s="35">
        <f t="shared" si="23"/>
        <v>1402.5</v>
      </c>
      <c r="T25" s="35">
        <f t="shared" si="23"/>
        <v>255</v>
      </c>
      <c r="U25" s="35">
        <f t="shared" si="23"/>
        <v>2661.25</v>
      </c>
      <c r="V25" s="35">
        <f t="shared" si="23"/>
        <v>1064.5</v>
      </c>
      <c r="W25" s="35">
        <f t="shared" si="23"/>
        <v>1380.505</v>
      </c>
      <c r="X25" s="35">
        <f t="shared" si="23"/>
        <v>852</v>
      </c>
      <c r="Y25" s="35">
        <f t="shared" si="23"/>
        <v>0</v>
      </c>
      <c r="Z25" s="35">
        <f t="shared" si="23"/>
        <v>0</v>
      </c>
      <c r="AA25" s="35">
        <f t="shared" si="23"/>
        <v>0</v>
      </c>
      <c r="AB25" s="35">
        <f t="shared" si="23"/>
        <v>0</v>
      </c>
      <c r="AC25" s="35">
        <f t="shared" si="23"/>
        <v>2725</v>
      </c>
      <c r="AD25" s="35">
        <f t="shared" si="23"/>
        <v>135</v>
      </c>
      <c r="AE25" s="37">
        <f t="shared" si="23"/>
        <v>0</v>
      </c>
      <c r="AF25" s="35">
        <f t="shared" si="23"/>
        <v>0</v>
      </c>
      <c r="AG25" s="35">
        <f t="shared" si="23"/>
        <v>0.5</v>
      </c>
      <c r="AH25" s="35">
        <f t="shared" si="23"/>
        <v>360</v>
      </c>
      <c r="AI25" s="35">
        <f t="shared" si="23"/>
        <v>18</v>
      </c>
      <c r="A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9">
        <f>U25+W25</f>
        <v>4041.755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>
      <c r="A27" s="3"/>
      <c r="B27" s="40" t="s">
        <v>60</v>
      </c>
      <c r="C27" s="3"/>
      <c r="D27" s="3"/>
      <c r="E27" s="3"/>
      <c r="F27" s="3"/>
      <c r="G27" s="13" t="s">
        <v>57</v>
      </c>
      <c r="H27" s="38">
        <f>H25+I25+M25+U25+W25+AE25+L25</f>
        <v>4279.755</v>
      </c>
      <c r="I27" s="3"/>
      <c r="J27" s="13" t="s">
        <v>58</v>
      </c>
      <c r="K27" s="13"/>
      <c r="L27" s="38">
        <f>SUM(F25+G25)</f>
        <v>4718</v>
      </c>
      <c r="M27" s="3"/>
      <c r="N27" s="13" t="s">
        <v>59</v>
      </c>
      <c r="O27" s="38">
        <f>J25+AC25</f>
        <v>2729</v>
      </c>
      <c r="P27" s="3"/>
      <c r="Q27" s="3"/>
      <c r="R27" s="3"/>
      <c r="S27" s="3"/>
      <c r="T27" s="3"/>
      <c r="U27" s="39">
        <f>V25+X25</f>
        <v>1916.5</v>
      </c>
      <c r="V27" s="3"/>
      <c r="W27" s="3"/>
      <c r="X27" s="3"/>
      <c r="Y27" s="41">
        <f t="shared" ref="Y27:Z27" si="24">SUM(Y25,AA25,AC25,AE25)</f>
        <v>2725</v>
      </c>
      <c r="Z27" s="38">
        <f t="shared" si="24"/>
        <v>135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>
      <c r="A28" s="2" t="s">
        <v>16</v>
      </c>
      <c r="B28" s="2" t="s">
        <v>1</v>
      </c>
      <c r="C28" s="2" t="s">
        <v>61</v>
      </c>
      <c r="D28" s="2" t="s">
        <v>62</v>
      </c>
      <c r="E28" s="2" t="s">
        <v>63</v>
      </c>
      <c r="F28" s="3"/>
      <c r="G28" s="13" t="s">
        <v>64</v>
      </c>
      <c r="H28" s="13" t="s">
        <v>65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>
      <c r="A29" s="10"/>
      <c r="B29" s="31"/>
      <c r="C29" s="6" t="s">
        <v>69</v>
      </c>
      <c r="D29" s="7">
        <f t="shared" ref="D29:D47" si="25">E29*20</f>
        <v>40</v>
      </c>
      <c r="E29" s="9">
        <v>2.0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13" t="s">
        <v>67</v>
      </c>
      <c r="X29" s="38">
        <f>X25+V25</f>
        <v>1916.5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10"/>
      <c r="B30" s="31"/>
      <c r="C30" s="24" t="s">
        <v>66</v>
      </c>
      <c r="D30" s="7">
        <f t="shared" si="25"/>
        <v>0</v>
      </c>
      <c r="E30" s="10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13" t="s">
        <v>68</v>
      </c>
      <c r="X30" s="38">
        <f>W25+U25</f>
        <v>4041.755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10"/>
      <c r="B31" s="31"/>
      <c r="C31" s="24" t="s">
        <v>66</v>
      </c>
      <c r="D31" s="7">
        <f t="shared" si="25"/>
        <v>0</v>
      </c>
      <c r="E31" s="10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10"/>
      <c r="B32" s="31"/>
      <c r="C32" s="24" t="s">
        <v>66</v>
      </c>
      <c r="D32" s="7">
        <f t="shared" si="25"/>
        <v>0</v>
      </c>
      <c r="E32" s="10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10"/>
      <c r="B33" s="31"/>
      <c r="C33" s="10"/>
      <c r="D33" s="7">
        <f t="shared" si="25"/>
        <v>0</v>
      </c>
      <c r="E33" s="1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10"/>
      <c r="B34" s="31"/>
      <c r="C34" s="10"/>
      <c r="D34" s="7">
        <f t="shared" si="25"/>
        <v>0</v>
      </c>
      <c r="E34" s="1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>
      <c r="A35" s="10"/>
      <c r="B35" s="31"/>
      <c r="C35" s="10"/>
      <c r="D35" s="7">
        <f t="shared" si="25"/>
        <v>0</v>
      </c>
      <c r="E35" s="1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>
      <c r="A36" s="10"/>
      <c r="B36" s="31"/>
      <c r="C36" s="10"/>
      <c r="D36" s="7">
        <f t="shared" si="25"/>
        <v>0</v>
      </c>
      <c r="E36" s="1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>
      <c r="A37" s="10"/>
      <c r="B37" s="31"/>
      <c r="C37" s="10"/>
      <c r="D37" s="7">
        <f t="shared" si="25"/>
        <v>0</v>
      </c>
      <c r="E37" s="1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10"/>
      <c r="B38" s="31"/>
      <c r="C38" s="10"/>
      <c r="D38" s="7">
        <f t="shared" si="25"/>
        <v>0</v>
      </c>
      <c r="E38" s="1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10"/>
      <c r="B39" s="31"/>
      <c r="C39" s="10"/>
      <c r="D39" s="7">
        <f t="shared" si="25"/>
        <v>0</v>
      </c>
      <c r="E39" s="10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10"/>
      <c r="B40" s="31"/>
      <c r="C40" s="10"/>
      <c r="D40" s="7">
        <f t="shared" si="25"/>
        <v>0</v>
      </c>
      <c r="E40" s="10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>
      <c r="A41" s="10"/>
      <c r="B41" s="31"/>
      <c r="C41" s="10"/>
      <c r="D41" s="7">
        <f t="shared" si="25"/>
        <v>0</v>
      </c>
      <c r="E41" s="10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10"/>
      <c r="B42" s="31"/>
      <c r="C42" s="10"/>
      <c r="D42" s="7">
        <f t="shared" si="25"/>
        <v>0</v>
      </c>
      <c r="E42" s="1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10"/>
      <c r="B43" s="31"/>
      <c r="C43" s="10"/>
      <c r="D43" s="7">
        <f t="shared" si="25"/>
        <v>0</v>
      </c>
      <c r="E43" s="1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10"/>
      <c r="B44" s="31"/>
      <c r="C44" s="10"/>
      <c r="D44" s="7">
        <f t="shared" si="25"/>
        <v>0</v>
      </c>
      <c r="E44" s="10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10"/>
      <c r="B45" s="31"/>
      <c r="C45" s="10"/>
      <c r="D45" s="7">
        <f t="shared" si="25"/>
        <v>0</v>
      </c>
      <c r="E45" s="1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10"/>
      <c r="B46" s="31"/>
      <c r="C46" s="10"/>
      <c r="D46" s="7">
        <f t="shared" si="25"/>
        <v>0</v>
      </c>
      <c r="E46" s="1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10"/>
      <c r="B47" s="31"/>
      <c r="C47" s="10"/>
      <c r="D47" s="7">
        <f t="shared" si="25"/>
        <v>0</v>
      </c>
      <c r="E47" s="10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</row>
  </sheetData>
  <mergeCells count="1">
    <mergeCell ref="A25:D25"/>
  </mergeCells>
  <dataValidations>
    <dataValidation type="list" allowBlank="1" showErrorMessage="1" sqref="C29:C47">
      <formula1>"Palet,Carrete de Madera,Carrete Plástico,Tambores 120 lts,eléctrico"</formula1>
    </dataValidation>
    <dataValidation type="list" allowBlank="1" showErrorMessage="1" sqref="C2:C24">
      <formula1>"AREAS PRODUCTIVAS,bod, Apd, Ácido,puntos verdes y HSEC"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30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 t="s">
        <v>32</v>
      </c>
      <c r="R1" s="1" t="s">
        <v>33</v>
      </c>
      <c r="S1" s="2" t="s">
        <v>15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3"/>
      <c r="AH1" s="3"/>
      <c r="AI1" s="3"/>
      <c r="AJ1" s="3"/>
    </row>
    <row r="2">
      <c r="A2" s="4"/>
      <c r="B2" s="5">
        <v>46144.0</v>
      </c>
      <c r="C2" s="6"/>
      <c r="D2" s="7"/>
      <c r="E2" s="4"/>
      <c r="F2" s="8">
        <f t="shared" ref="F2:F3" si="1">E2-G2-H2-I2-J2-K2-L2</f>
        <v>0</v>
      </c>
      <c r="G2" s="9"/>
      <c r="H2" s="9"/>
      <c r="I2" s="9"/>
      <c r="J2" s="9"/>
      <c r="K2" s="9"/>
      <c r="L2" s="10"/>
      <c r="M2" s="7"/>
      <c r="N2" s="10"/>
      <c r="O2" s="7"/>
      <c r="P2" s="4"/>
      <c r="Q2" s="7"/>
      <c r="R2" s="4"/>
      <c r="S2" s="7"/>
      <c r="T2" s="4"/>
      <c r="U2" s="7"/>
      <c r="V2" s="9"/>
      <c r="W2" s="7"/>
      <c r="X2" s="4"/>
      <c r="Y2" s="7"/>
      <c r="Z2" s="10"/>
      <c r="AA2" s="7"/>
      <c r="AB2" s="10"/>
      <c r="AC2" s="7"/>
      <c r="AD2" s="7"/>
      <c r="AE2" s="7"/>
      <c r="AF2" s="10"/>
      <c r="AG2" s="13"/>
      <c r="AH2" s="3"/>
      <c r="AI2" s="3"/>
      <c r="AJ2" s="3"/>
    </row>
    <row r="3">
      <c r="A3" s="4"/>
      <c r="B3" s="5">
        <v>46145.0</v>
      </c>
      <c r="C3" s="6" t="s">
        <v>41</v>
      </c>
      <c r="D3" s="7"/>
      <c r="E3" s="4"/>
      <c r="F3" s="8">
        <f t="shared" si="1"/>
        <v>0</v>
      </c>
      <c r="G3" s="9"/>
      <c r="H3" s="9"/>
      <c r="I3" s="9"/>
      <c r="J3" s="9"/>
      <c r="K3" s="9"/>
      <c r="L3" s="10"/>
      <c r="M3" s="7">
        <f t="shared" ref="M3:M8" si="2">N3*10</f>
        <v>0</v>
      </c>
      <c r="N3" s="10"/>
      <c r="O3" s="7">
        <f t="shared" ref="O3:O25" si="3">P3*20</f>
        <v>0</v>
      </c>
      <c r="P3" s="4"/>
      <c r="Q3" s="7">
        <f t="shared" ref="Q3:Q25" si="4">(R3*20)</f>
        <v>0</v>
      </c>
      <c r="R3" s="4"/>
      <c r="S3" s="7">
        <f t="shared" ref="S3:S25" si="5">T3*5.5</f>
        <v>0</v>
      </c>
      <c r="T3" s="4"/>
      <c r="U3" s="7">
        <f t="shared" ref="U3:U25" si="6">V3*2.5</f>
        <v>0</v>
      </c>
      <c r="V3" s="9"/>
      <c r="W3" s="7">
        <f t="shared" ref="W3:W7" si="7">X3*0.5</f>
        <v>0</v>
      </c>
      <c r="X3" s="4"/>
      <c r="Y3" s="7">
        <f t="shared" ref="Y3:Y25" si="8">Z3*1.4</f>
        <v>0</v>
      </c>
      <c r="Z3" s="10"/>
      <c r="AA3" s="7">
        <f t="shared" ref="AA3:AA25" si="9">AB3*1.2</f>
        <v>0</v>
      </c>
      <c r="AB3" s="10"/>
      <c r="AC3" s="7">
        <f>AD3*16</f>
        <v>0</v>
      </c>
      <c r="AD3" s="7">
        <v>0.0</v>
      </c>
      <c r="AE3" s="7">
        <f t="shared" ref="AE3:AE25" si="10">AF3*2.275</f>
        <v>0</v>
      </c>
      <c r="AF3" s="10"/>
      <c r="AG3" s="13"/>
      <c r="AH3" s="3"/>
      <c r="AI3" s="3"/>
      <c r="AJ3" s="3"/>
    </row>
    <row r="4">
      <c r="A4" s="4"/>
      <c r="B4" s="5">
        <v>46146.0</v>
      </c>
      <c r="C4" s="6" t="s">
        <v>39</v>
      </c>
      <c r="D4" s="7" t="s">
        <v>40</v>
      </c>
      <c r="E4" s="4"/>
      <c r="F4" s="8"/>
      <c r="G4" s="4" t="s">
        <v>70</v>
      </c>
      <c r="H4" s="4"/>
      <c r="I4" s="4"/>
      <c r="J4" s="4"/>
      <c r="K4" s="7"/>
      <c r="L4" s="9"/>
      <c r="M4" s="7">
        <f t="shared" si="2"/>
        <v>0</v>
      </c>
      <c r="N4" s="10"/>
      <c r="O4" s="7">
        <f t="shared" si="3"/>
        <v>0</v>
      </c>
      <c r="P4" s="9"/>
      <c r="Q4" s="7">
        <f t="shared" si="4"/>
        <v>0</v>
      </c>
      <c r="R4" s="7"/>
      <c r="S4" s="7">
        <f t="shared" si="5"/>
        <v>0</v>
      </c>
      <c r="T4" s="12"/>
      <c r="U4" s="7">
        <f t="shared" si="6"/>
        <v>0</v>
      </c>
      <c r="V4" s="12"/>
      <c r="W4" s="7">
        <f t="shared" si="7"/>
        <v>0</v>
      </c>
      <c r="X4" s="12"/>
      <c r="Y4" s="7">
        <f t="shared" si="8"/>
        <v>0</v>
      </c>
      <c r="Z4" s="10"/>
      <c r="AA4" s="7">
        <f t="shared" si="9"/>
        <v>0</v>
      </c>
      <c r="AB4" s="10"/>
      <c r="AC4" s="7">
        <v>0.0</v>
      </c>
      <c r="AD4" s="10"/>
      <c r="AE4" s="7">
        <f t="shared" si="10"/>
        <v>0</v>
      </c>
      <c r="AF4" s="10"/>
      <c r="AG4" s="3"/>
      <c r="AH4" s="3"/>
      <c r="AI4" s="3"/>
      <c r="AJ4" s="3"/>
    </row>
    <row r="5">
      <c r="A5" s="43"/>
      <c r="B5" s="5">
        <v>46147.0</v>
      </c>
      <c r="C5" s="44" t="s">
        <v>41</v>
      </c>
      <c r="D5" s="45" t="s">
        <v>40</v>
      </c>
      <c r="E5" s="43">
        <v>1000.0</v>
      </c>
      <c r="F5" s="8">
        <f t="shared" ref="F5:F6" si="11">E5-G5-H5-I5-J5-K5-L5</f>
        <v>963</v>
      </c>
      <c r="G5" s="46">
        <v>9.0</v>
      </c>
      <c r="H5" s="46">
        <v>4.5</v>
      </c>
      <c r="I5" s="46">
        <v>21.0</v>
      </c>
      <c r="J5" s="46">
        <v>1.5</v>
      </c>
      <c r="K5" s="46"/>
      <c r="L5" s="46">
        <v>1.0</v>
      </c>
      <c r="M5" s="45">
        <f t="shared" si="2"/>
        <v>0</v>
      </c>
      <c r="N5" s="47"/>
      <c r="O5" s="45">
        <f t="shared" si="3"/>
        <v>520</v>
      </c>
      <c r="P5" s="48">
        <v>26.0</v>
      </c>
      <c r="Q5" s="45">
        <f t="shared" si="4"/>
        <v>220</v>
      </c>
      <c r="R5" s="48">
        <v>11.0</v>
      </c>
      <c r="S5" s="45">
        <f t="shared" si="5"/>
        <v>126.5</v>
      </c>
      <c r="T5" s="48">
        <v>23.0</v>
      </c>
      <c r="U5" s="45">
        <f t="shared" si="6"/>
        <v>40</v>
      </c>
      <c r="V5" s="48">
        <v>16.0</v>
      </c>
      <c r="W5" s="45">
        <f t="shared" si="7"/>
        <v>90</v>
      </c>
      <c r="X5" s="48">
        <v>180.0</v>
      </c>
      <c r="Y5" s="45">
        <f t="shared" si="8"/>
        <v>0</v>
      </c>
      <c r="Z5" s="47"/>
      <c r="AA5" s="45">
        <f t="shared" si="9"/>
        <v>0</v>
      </c>
      <c r="AB5" s="47"/>
      <c r="AC5" s="45">
        <f t="shared" ref="AC5:AC25" si="12">AD5*16</f>
        <v>0</v>
      </c>
      <c r="AD5" s="47"/>
      <c r="AE5" s="45">
        <f t="shared" si="10"/>
        <v>0</v>
      </c>
      <c r="AF5" s="47"/>
      <c r="AG5" s="22"/>
      <c r="AH5" s="22"/>
      <c r="AI5" s="22"/>
      <c r="AJ5" s="22"/>
    </row>
    <row r="6">
      <c r="A6" s="23"/>
      <c r="B6" s="5">
        <v>46149.0</v>
      </c>
      <c r="C6" s="6" t="s">
        <v>39</v>
      </c>
      <c r="D6" s="7" t="s">
        <v>40</v>
      </c>
      <c r="E6" s="23">
        <v>600.0</v>
      </c>
      <c r="F6" s="8" t="str">
        <f t="shared" si="11"/>
        <v>#VALUE!</v>
      </c>
      <c r="G6" s="9" t="s">
        <v>71</v>
      </c>
      <c r="H6" s="9"/>
      <c r="I6" s="9"/>
      <c r="J6" s="9"/>
      <c r="K6" s="10"/>
      <c r="L6" s="9"/>
      <c r="M6" s="7">
        <f t="shared" si="2"/>
        <v>0</v>
      </c>
      <c r="N6" s="12"/>
      <c r="O6" s="7">
        <f t="shared" si="3"/>
        <v>0</v>
      </c>
      <c r="P6" s="23"/>
      <c r="Q6" s="7">
        <f t="shared" si="4"/>
        <v>0</v>
      </c>
      <c r="R6" s="4"/>
      <c r="S6" s="7">
        <f t="shared" si="5"/>
        <v>0</v>
      </c>
      <c r="T6" s="12"/>
      <c r="U6" s="7">
        <f t="shared" si="6"/>
        <v>0</v>
      </c>
      <c r="V6" s="12"/>
      <c r="W6" s="7">
        <f t="shared" si="7"/>
        <v>0</v>
      </c>
      <c r="X6" s="12"/>
      <c r="Y6" s="7">
        <f t="shared" si="8"/>
        <v>0</v>
      </c>
      <c r="Z6" s="10"/>
      <c r="AA6" s="7">
        <f t="shared" si="9"/>
        <v>0</v>
      </c>
      <c r="AB6" s="10"/>
      <c r="AC6" s="7">
        <f t="shared" si="12"/>
        <v>0</v>
      </c>
      <c r="AD6" s="10"/>
      <c r="AE6" s="7">
        <f t="shared" si="10"/>
        <v>0</v>
      </c>
      <c r="AF6" s="10"/>
      <c r="AG6" s="3"/>
      <c r="AH6" s="3"/>
      <c r="AI6" s="3"/>
      <c r="AJ6" s="3"/>
    </row>
    <row r="7">
      <c r="A7" s="23"/>
      <c r="B7" s="49">
        <v>46150.0</v>
      </c>
      <c r="C7" s="6" t="s">
        <v>39</v>
      </c>
      <c r="D7" s="7" t="s">
        <v>40</v>
      </c>
      <c r="E7" s="23"/>
      <c r="F7" s="8"/>
      <c r="G7" s="9"/>
      <c r="H7" s="4"/>
      <c r="I7" s="4"/>
      <c r="J7" s="4"/>
      <c r="K7" s="4"/>
      <c r="L7" s="9"/>
      <c r="M7" s="7">
        <f t="shared" si="2"/>
        <v>0</v>
      </c>
      <c r="N7" s="10"/>
      <c r="O7" s="7">
        <f t="shared" si="3"/>
        <v>0</v>
      </c>
      <c r="P7" s="12"/>
      <c r="Q7" s="7">
        <f t="shared" si="4"/>
        <v>0</v>
      </c>
      <c r="R7" s="7"/>
      <c r="S7" s="7">
        <f t="shared" si="5"/>
        <v>0</v>
      </c>
      <c r="T7" s="10"/>
      <c r="U7" s="7">
        <f t="shared" si="6"/>
        <v>0</v>
      </c>
      <c r="V7" s="10"/>
      <c r="W7" s="7">
        <f t="shared" si="7"/>
        <v>0</v>
      </c>
      <c r="X7" s="10"/>
      <c r="Y7" s="7">
        <f t="shared" si="8"/>
        <v>0</v>
      </c>
      <c r="Z7" s="10"/>
      <c r="AA7" s="7">
        <f t="shared" si="9"/>
        <v>0</v>
      </c>
      <c r="AB7" s="10"/>
      <c r="AC7" s="7">
        <f t="shared" si="12"/>
        <v>0</v>
      </c>
      <c r="AD7" s="10"/>
      <c r="AE7" s="7">
        <f t="shared" si="10"/>
        <v>0</v>
      </c>
      <c r="AF7" s="10"/>
      <c r="AG7" s="3"/>
      <c r="AH7" s="3"/>
      <c r="AI7" s="3"/>
      <c r="AJ7" s="3"/>
    </row>
    <row r="8">
      <c r="A8" s="23"/>
      <c r="B8" s="49">
        <v>46151.0</v>
      </c>
      <c r="C8" s="6" t="s">
        <v>41</v>
      </c>
      <c r="D8" s="7" t="s">
        <v>40</v>
      </c>
      <c r="E8" s="23"/>
      <c r="F8" s="8"/>
      <c r="G8" s="26"/>
      <c r="H8" s="12"/>
      <c r="I8" s="12"/>
      <c r="J8" s="12"/>
      <c r="K8" s="12"/>
      <c r="L8" s="12"/>
      <c r="M8" s="7">
        <f t="shared" si="2"/>
        <v>0</v>
      </c>
      <c r="N8" s="10"/>
      <c r="O8" s="7">
        <f t="shared" si="3"/>
        <v>0</v>
      </c>
      <c r="P8" s="4"/>
      <c r="Q8" s="7">
        <f t="shared" si="4"/>
        <v>0</v>
      </c>
      <c r="R8" s="4"/>
      <c r="S8" s="7">
        <f t="shared" si="5"/>
        <v>0</v>
      </c>
      <c r="T8" s="4"/>
      <c r="U8" s="7">
        <f t="shared" si="6"/>
        <v>0</v>
      </c>
      <c r="V8" s="4"/>
      <c r="W8" s="7"/>
      <c r="X8" s="4"/>
      <c r="Y8" s="7">
        <f t="shared" si="8"/>
        <v>0</v>
      </c>
      <c r="Z8" s="10"/>
      <c r="AA8" s="7">
        <f t="shared" si="9"/>
        <v>0</v>
      </c>
      <c r="AB8" s="10"/>
      <c r="AC8" s="7">
        <f t="shared" si="12"/>
        <v>0</v>
      </c>
      <c r="AD8" s="10"/>
      <c r="AE8" s="7">
        <f t="shared" si="10"/>
        <v>0</v>
      </c>
      <c r="AF8" s="10"/>
      <c r="AG8" s="3"/>
      <c r="AH8" s="3"/>
      <c r="AI8" s="3"/>
      <c r="AJ8" s="3"/>
    </row>
    <row r="9">
      <c r="A9" s="43"/>
      <c r="B9" s="49">
        <v>46152.0</v>
      </c>
      <c r="C9" s="6" t="s">
        <v>39</v>
      </c>
      <c r="D9" s="7" t="s">
        <v>40</v>
      </c>
      <c r="E9" s="23"/>
      <c r="F9" s="8"/>
      <c r="G9" s="4"/>
      <c r="H9" s="4"/>
      <c r="I9" s="4"/>
      <c r="J9" s="4"/>
      <c r="K9" s="4"/>
      <c r="L9" s="4"/>
      <c r="M9" s="7"/>
      <c r="N9" s="10"/>
      <c r="O9" s="7">
        <f t="shared" si="3"/>
        <v>0</v>
      </c>
      <c r="P9" s="12"/>
      <c r="Q9" s="7">
        <f t="shared" si="4"/>
        <v>0</v>
      </c>
      <c r="R9" s="7"/>
      <c r="S9" s="7">
        <f t="shared" si="5"/>
        <v>0</v>
      </c>
      <c r="T9" s="12"/>
      <c r="U9" s="7">
        <f t="shared" si="6"/>
        <v>0</v>
      </c>
      <c r="V9" s="12"/>
      <c r="W9" s="7">
        <f t="shared" ref="W9:W25" si="13">X9*0.5</f>
        <v>0</v>
      </c>
      <c r="X9" s="12"/>
      <c r="Y9" s="7">
        <f t="shared" si="8"/>
        <v>0</v>
      </c>
      <c r="Z9" s="10"/>
      <c r="AA9" s="7">
        <f t="shared" si="9"/>
        <v>0</v>
      </c>
      <c r="AB9" s="10"/>
      <c r="AC9" s="7">
        <f t="shared" si="12"/>
        <v>0</v>
      </c>
      <c r="AD9" s="10"/>
      <c r="AE9" s="7">
        <f t="shared" si="10"/>
        <v>0</v>
      </c>
      <c r="AF9" s="10"/>
      <c r="AG9" s="3"/>
      <c r="AH9" s="3"/>
      <c r="AI9" s="3"/>
      <c r="AJ9" s="3"/>
    </row>
    <row r="10">
      <c r="A10" s="23"/>
      <c r="B10" s="50">
        <v>46153.0</v>
      </c>
      <c r="C10" s="6" t="s">
        <v>41</v>
      </c>
      <c r="D10" s="7" t="s">
        <v>40</v>
      </c>
      <c r="E10" s="23">
        <v>1070.0</v>
      </c>
      <c r="F10" s="8">
        <f>E10-G10-H10-I10-J10-K10-L10</f>
        <v>1058.8</v>
      </c>
      <c r="G10" s="12">
        <v>9.0</v>
      </c>
      <c r="H10" s="12">
        <v>2.0</v>
      </c>
      <c r="I10" s="12"/>
      <c r="J10" s="12">
        <v>0.2</v>
      </c>
      <c r="K10" s="12"/>
      <c r="L10" s="12"/>
      <c r="M10" s="7">
        <f t="shared" ref="M10:M20" si="14">N10*10</f>
        <v>0</v>
      </c>
      <c r="N10" s="10"/>
      <c r="O10" s="7">
        <f t="shared" si="3"/>
        <v>0</v>
      </c>
      <c r="P10" s="4"/>
      <c r="Q10" s="7">
        <f t="shared" si="4"/>
        <v>0</v>
      </c>
      <c r="R10" s="7"/>
      <c r="S10" s="7">
        <f t="shared" si="5"/>
        <v>0</v>
      </c>
      <c r="T10" s="4"/>
      <c r="U10" s="7">
        <f t="shared" si="6"/>
        <v>0</v>
      </c>
      <c r="V10" s="9"/>
      <c r="W10" s="7">
        <f t="shared" si="13"/>
        <v>0</v>
      </c>
      <c r="X10" s="9"/>
      <c r="Y10" s="7">
        <f t="shared" si="8"/>
        <v>0</v>
      </c>
      <c r="Z10" s="10"/>
      <c r="AA10" s="7">
        <f t="shared" si="9"/>
        <v>0</v>
      </c>
      <c r="AB10" s="10"/>
      <c r="AC10" s="7">
        <f t="shared" si="12"/>
        <v>0</v>
      </c>
      <c r="AD10" s="10"/>
      <c r="AE10" s="7">
        <f t="shared" si="10"/>
        <v>0</v>
      </c>
      <c r="AF10" s="10"/>
      <c r="AG10" s="3"/>
      <c r="AH10" s="3"/>
      <c r="AI10" s="3"/>
      <c r="AJ10" s="3"/>
    </row>
    <row r="11">
      <c r="A11" s="23"/>
      <c r="B11" s="49">
        <v>46154.0</v>
      </c>
      <c r="C11" s="24" t="s">
        <v>41</v>
      </c>
      <c r="D11" s="7" t="s">
        <v>40</v>
      </c>
      <c r="E11" s="23"/>
      <c r="F11" s="8"/>
      <c r="G11" s="10"/>
      <c r="H11" s="9"/>
      <c r="I11" s="10"/>
      <c r="J11" s="10"/>
      <c r="K11" s="10"/>
      <c r="L11" s="10"/>
      <c r="M11" s="7">
        <f t="shared" si="14"/>
        <v>0</v>
      </c>
      <c r="N11" s="10"/>
      <c r="O11" s="7">
        <f t="shared" si="3"/>
        <v>0</v>
      </c>
      <c r="P11" s="23"/>
      <c r="Q11" s="7">
        <f t="shared" si="4"/>
        <v>0</v>
      </c>
      <c r="R11" s="4"/>
      <c r="S11" s="7">
        <f t="shared" si="5"/>
        <v>0</v>
      </c>
      <c r="T11" s="10"/>
      <c r="U11" s="7">
        <f t="shared" si="6"/>
        <v>0</v>
      </c>
      <c r="V11" s="10"/>
      <c r="W11" s="7">
        <f t="shared" si="13"/>
        <v>0</v>
      </c>
      <c r="X11" s="10"/>
      <c r="Y11" s="7">
        <f t="shared" si="8"/>
        <v>0</v>
      </c>
      <c r="Z11" s="10"/>
      <c r="AA11" s="7">
        <f t="shared" si="9"/>
        <v>0</v>
      </c>
      <c r="AB11" s="10"/>
      <c r="AC11" s="7">
        <f t="shared" si="12"/>
        <v>0</v>
      </c>
      <c r="AD11" s="10"/>
      <c r="AE11" s="7">
        <f t="shared" si="10"/>
        <v>0</v>
      </c>
      <c r="AF11" s="10"/>
      <c r="AG11" s="3"/>
      <c r="AH11" s="3"/>
      <c r="AI11" s="3"/>
      <c r="AJ11" s="3"/>
    </row>
    <row r="12">
      <c r="A12" s="43"/>
      <c r="B12" s="49">
        <v>46155.0</v>
      </c>
      <c r="C12" s="6" t="s">
        <v>39</v>
      </c>
      <c r="D12" s="7" t="s">
        <v>40</v>
      </c>
      <c r="E12" s="23"/>
      <c r="F12" s="8"/>
      <c r="G12" s="23"/>
      <c r="H12" s="23"/>
      <c r="I12" s="23"/>
      <c r="J12" s="23"/>
      <c r="K12" s="23"/>
      <c r="L12" s="9"/>
      <c r="M12" s="7">
        <f t="shared" si="14"/>
        <v>0</v>
      </c>
      <c r="N12" s="10"/>
      <c r="O12" s="7">
        <f t="shared" si="3"/>
        <v>0</v>
      </c>
      <c r="P12" s="12"/>
      <c r="Q12" s="7">
        <f t="shared" si="4"/>
        <v>0</v>
      </c>
      <c r="R12" s="7"/>
      <c r="S12" s="7">
        <f t="shared" si="5"/>
        <v>0</v>
      </c>
      <c r="T12" s="10"/>
      <c r="U12" s="7">
        <f t="shared" si="6"/>
        <v>0</v>
      </c>
      <c r="V12" s="9"/>
      <c r="W12" s="7">
        <f t="shared" si="13"/>
        <v>0</v>
      </c>
      <c r="X12" s="9"/>
      <c r="Y12" s="7">
        <f t="shared" si="8"/>
        <v>0</v>
      </c>
      <c r="Z12" s="10"/>
      <c r="AA12" s="7">
        <f t="shared" si="9"/>
        <v>0</v>
      </c>
      <c r="AB12" s="10"/>
      <c r="AC12" s="7">
        <f t="shared" si="12"/>
        <v>0</v>
      </c>
      <c r="AD12" s="10"/>
      <c r="AE12" s="7">
        <f t="shared" si="10"/>
        <v>0</v>
      </c>
      <c r="AF12" s="10"/>
      <c r="AG12" s="3"/>
      <c r="AH12" s="3"/>
      <c r="AI12" s="3"/>
      <c r="AJ12" s="3"/>
    </row>
    <row r="13" ht="16.5" customHeight="1">
      <c r="A13" s="23"/>
      <c r="B13" s="49">
        <v>46156.0</v>
      </c>
      <c r="C13" s="6" t="s">
        <v>41</v>
      </c>
      <c r="D13" s="7" t="s">
        <v>40</v>
      </c>
      <c r="E13" s="23"/>
      <c r="F13" s="8">
        <f t="shared" ref="F13:F14" si="15">E13-G13-H13-I13-J13-K13-L13</f>
        <v>0</v>
      </c>
      <c r="G13" s="26"/>
      <c r="H13" s="12"/>
      <c r="I13" s="12"/>
      <c r="J13" s="9"/>
      <c r="K13" s="10"/>
      <c r="L13" s="10"/>
      <c r="M13" s="7">
        <f t="shared" si="14"/>
        <v>0</v>
      </c>
      <c r="N13" s="10"/>
      <c r="O13" s="7">
        <f t="shared" si="3"/>
        <v>0</v>
      </c>
      <c r="P13" s="23"/>
      <c r="Q13" s="7">
        <f t="shared" si="4"/>
        <v>0</v>
      </c>
      <c r="R13" s="4"/>
      <c r="S13" s="7">
        <f t="shared" si="5"/>
        <v>0</v>
      </c>
      <c r="T13" s="23"/>
      <c r="U13" s="7">
        <f t="shared" si="6"/>
        <v>0</v>
      </c>
      <c r="V13" s="23"/>
      <c r="W13" s="7">
        <f t="shared" si="13"/>
        <v>0</v>
      </c>
      <c r="X13" s="23"/>
      <c r="Y13" s="7">
        <f t="shared" si="8"/>
        <v>0</v>
      </c>
      <c r="Z13" s="10"/>
      <c r="AA13" s="7">
        <f t="shared" si="9"/>
        <v>0</v>
      </c>
      <c r="AB13" s="10"/>
      <c r="AC13" s="7">
        <f t="shared" si="12"/>
        <v>0</v>
      </c>
      <c r="AD13" s="10"/>
      <c r="AE13" s="7">
        <f t="shared" si="10"/>
        <v>0</v>
      </c>
      <c r="AF13" s="9"/>
      <c r="AG13" s="3"/>
      <c r="AH13" s="3"/>
      <c r="AI13" s="3"/>
      <c r="AJ13" s="3"/>
    </row>
    <row r="14">
      <c r="A14" s="43"/>
      <c r="B14" s="50">
        <v>46157.0</v>
      </c>
      <c r="C14" s="6" t="s">
        <v>39</v>
      </c>
      <c r="D14" s="7" t="s">
        <v>40</v>
      </c>
      <c r="E14" s="23">
        <v>600.0</v>
      </c>
      <c r="F14" s="8">
        <f t="shared" si="15"/>
        <v>591.5</v>
      </c>
      <c r="G14" s="23"/>
      <c r="H14" s="23">
        <v>2.5</v>
      </c>
      <c r="I14" s="23">
        <v>5.5</v>
      </c>
      <c r="J14" s="9">
        <v>0.5</v>
      </c>
      <c r="K14" s="10"/>
      <c r="L14" s="9"/>
      <c r="M14" s="7">
        <f t="shared" si="14"/>
        <v>0</v>
      </c>
      <c r="N14" s="10"/>
      <c r="O14" s="7">
        <f t="shared" si="3"/>
        <v>0</v>
      </c>
      <c r="P14" s="12"/>
      <c r="Q14" s="7">
        <f t="shared" si="4"/>
        <v>0</v>
      </c>
      <c r="R14" s="7"/>
      <c r="S14" s="7">
        <f t="shared" si="5"/>
        <v>0</v>
      </c>
      <c r="T14" s="12"/>
      <c r="U14" s="7">
        <f t="shared" si="6"/>
        <v>0</v>
      </c>
      <c r="V14" s="10"/>
      <c r="W14" s="7">
        <f t="shared" si="13"/>
        <v>0</v>
      </c>
      <c r="X14" s="12"/>
      <c r="Y14" s="7">
        <f t="shared" si="8"/>
        <v>0</v>
      </c>
      <c r="Z14" s="10"/>
      <c r="AA14" s="7">
        <f t="shared" si="9"/>
        <v>0</v>
      </c>
      <c r="AB14" s="10"/>
      <c r="AC14" s="7">
        <f t="shared" si="12"/>
        <v>0</v>
      </c>
      <c r="AD14" s="10"/>
      <c r="AE14" s="7">
        <f t="shared" si="10"/>
        <v>0</v>
      </c>
      <c r="AF14" s="10"/>
      <c r="AG14" s="3"/>
      <c r="AH14" s="3"/>
      <c r="AI14" s="3"/>
      <c r="AJ14" s="3"/>
    </row>
    <row r="15">
      <c r="A15" s="23"/>
      <c r="B15" s="49">
        <v>46158.0</v>
      </c>
      <c r="C15" s="44" t="s">
        <v>39</v>
      </c>
      <c r="D15" s="7" t="s">
        <v>40</v>
      </c>
      <c r="E15" s="23"/>
      <c r="F15" s="8"/>
      <c r="G15" s="12"/>
      <c r="H15" s="12"/>
      <c r="I15" s="12"/>
      <c r="J15" s="12"/>
      <c r="K15" s="12"/>
      <c r="L15" s="10"/>
      <c r="M15" s="7">
        <f t="shared" si="14"/>
        <v>0</v>
      </c>
      <c r="N15" s="10"/>
      <c r="O15" s="7">
        <f t="shared" si="3"/>
        <v>0</v>
      </c>
      <c r="P15" s="4"/>
      <c r="Q15" s="7">
        <f t="shared" si="4"/>
        <v>0</v>
      </c>
      <c r="R15" s="4"/>
      <c r="S15" s="7">
        <f t="shared" si="5"/>
        <v>0</v>
      </c>
      <c r="T15" s="7"/>
      <c r="U15" s="7">
        <f t="shared" si="6"/>
        <v>0</v>
      </c>
      <c r="V15" s="7"/>
      <c r="W15" s="7">
        <f t="shared" si="13"/>
        <v>0</v>
      </c>
      <c r="X15" s="10"/>
      <c r="Y15" s="7">
        <f t="shared" si="8"/>
        <v>0</v>
      </c>
      <c r="Z15" s="10"/>
      <c r="AA15" s="7">
        <f t="shared" si="9"/>
        <v>0</v>
      </c>
      <c r="AB15" s="10"/>
      <c r="AC15" s="7">
        <f t="shared" si="12"/>
        <v>0</v>
      </c>
      <c r="AD15" s="10"/>
      <c r="AE15" s="7">
        <f t="shared" si="10"/>
        <v>0</v>
      </c>
      <c r="AF15" s="10"/>
      <c r="AG15" s="3"/>
      <c r="AH15" s="3"/>
      <c r="AI15" s="3"/>
      <c r="AJ15" s="3"/>
    </row>
    <row r="16" ht="15.75" customHeight="1">
      <c r="B16" s="49">
        <v>46159.0</v>
      </c>
      <c r="C16" s="24" t="s">
        <v>41</v>
      </c>
      <c r="D16" s="7" t="s">
        <v>40</v>
      </c>
      <c r="E16" s="23"/>
      <c r="F16" s="8">
        <f>E16-G16-H16-I16-J16-K16-L16</f>
        <v>-160.5</v>
      </c>
      <c r="G16" s="9">
        <v>85.0</v>
      </c>
      <c r="H16" s="9">
        <v>11.0</v>
      </c>
      <c r="I16" s="9">
        <v>60.0</v>
      </c>
      <c r="J16" s="9">
        <v>0.5</v>
      </c>
      <c r="K16" s="10"/>
      <c r="L16" s="9">
        <v>4.0</v>
      </c>
      <c r="M16" s="7">
        <f t="shared" si="14"/>
        <v>0</v>
      </c>
      <c r="N16" s="10"/>
      <c r="O16" s="7">
        <f t="shared" si="3"/>
        <v>0</v>
      </c>
      <c r="P16" s="12"/>
      <c r="Q16" s="7">
        <f t="shared" si="4"/>
        <v>0</v>
      </c>
      <c r="R16" s="4"/>
      <c r="S16" s="7">
        <f t="shared" si="5"/>
        <v>0</v>
      </c>
      <c r="T16" s="10"/>
      <c r="U16" s="7">
        <f t="shared" si="6"/>
        <v>0</v>
      </c>
      <c r="V16" s="9"/>
      <c r="W16" s="7">
        <f t="shared" si="13"/>
        <v>0</v>
      </c>
      <c r="X16" s="10"/>
      <c r="Y16" s="7">
        <f t="shared" si="8"/>
        <v>0</v>
      </c>
      <c r="Z16" s="10"/>
      <c r="AA16" s="7">
        <f t="shared" si="9"/>
        <v>0</v>
      </c>
      <c r="AB16" s="10"/>
      <c r="AC16" s="7">
        <f t="shared" si="12"/>
        <v>0</v>
      </c>
      <c r="AD16" s="10"/>
      <c r="AE16" s="7">
        <f t="shared" si="10"/>
        <v>0</v>
      </c>
      <c r="AF16" s="10"/>
      <c r="AG16" s="3"/>
      <c r="AH16" s="3"/>
      <c r="AI16" s="3"/>
      <c r="AJ16" s="3"/>
    </row>
    <row r="17">
      <c r="A17" s="43"/>
      <c r="B17" s="49">
        <v>46160.0</v>
      </c>
      <c r="C17" s="6" t="s">
        <v>39</v>
      </c>
      <c r="D17" s="7" t="s">
        <v>40</v>
      </c>
      <c r="E17" s="23"/>
      <c r="F17" s="8"/>
      <c r="G17" s="23"/>
      <c r="H17" s="23"/>
      <c r="I17" s="23"/>
      <c r="J17" s="9"/>
      <c r="K17" s="9"/>
      <c r="L17" s="10"/>
      <c r="M17" s="7">
        <f t="shared" si="14"/>
        <v>0</v>
      </c>
      <c r="N17" s="10"/>
      <c r="O17" s="7">
        <f t="shared" si="3"/>
        <v>0</v>
      </c>
      <c r="P17" s="12"/>
      <c r="Q17" s="7">
        <f t="shared" si="4"/>
        <v>0</v>
      </c>
      <c r="R17" s="7"/>
      <c r="S17" s="7">
        <f t="shared" si="5"/>
        <v>0</v>
      </c>
      <c r="T17" s="10"/>
      <c r="U17" s="7">
        <f t="shared" si="6"/>
        <v>0</v>
      </c>
      <c r="V17" s="10"/>
      <c r="W17" s="7">
        <f t="shared" si="13"/>
        <v>0</v>
      </c>
      <c r="X17" s="10"/>
      <c r="Y17" s="7">
        <f t="shared" si="8"/>
        <v>0</v>
      </c>
      <c r="Z17" s="10"/>
      <c r="AA17" s="7">
        <f t="shared" si="9"/>
        <v>0</v>
      </c>
      <c r="AB17" s="10"/>
      <c r="AC17" s="7">
        <f t="shared" si="12"/>
        <v>0</v>
      </c>
      <c r="AD17" s="10"/>
      <c r="AE17" s="7">
        <f t="shared" si="10"/>
        <v>0</v>
      </c>
      <c r="AF17" s="10"/>
      <c r="AG17" s="3"/>
      <c r="AH17" s="3"/>
      <c r="AI17" s="3"/>
      <c r="AJ17" s="3"/>
    </row>
    <row r="18">
      <c r="A18" s="23"/>
      <c r="B18" s="50">
        <v>46161.0</v>
      </c>
      <c r="C18" s="6" t="s">
        <v>41</v>
      </c>
      <c r="D18" s="7" t="s">
        <v>40</v>
      </c>
      <c r="E18" s="23">
        <v>820.0</v>
      </c>
      <c r="F18" s="8">
        <f>E18-G18-H18-I18-J18-K18-L18</f>
        <v>612.5</v>
      </c>
      <c r="G18" s="12">
        <v>5.5</v>
      </c>
      <c r="H18" s="12">
        <v>105.0</v>
      </c>
      <c r="I18" s="12">
        <v>95.0</v>
      </c>
      <c r="J18" s="12">
        <v>0.5</v>
      </c>
      <c r="K18" s="12"/>
      <c r="L18" s="12">
        <v>1.5</v>
      </c>
      <c r="M18" s="7">
        <f t="shared" si="14"/>
        <v>0</v>
      </c>
      <c r="N18" s="10"/>
      <c r="O18" s="7">
        <f t="shared" si="3"/>
        <v>0</v>
      </c>
      <c r="P18" s="23"/>
      <c r="Q18" s="7">
        <f t="shared" si="4"/>
        <v>0</v>
      </c>
      <c r="R18" s="4"/>
      <c r="S18" s="7">
        <f t="shared" si="5"/>
        <v>0</v>
      </c>
      <c r="T18" s="9"/>
      <c r="U18" s="7">
        <f t="shared" si="6"/>
        <v>0</v>
      </c>
      <c r="V18" s="23"/>
      <c r="W18" s="7">
        <f t="shared" si="13"/>
        <v>0</v>
      </c>
      <c r="X18" s="23"/>
      <c r="Y18" s="7">
        <f t="shared" si="8"/>
        <v>0</v>
      </c>
      <c r="Z18" s="10"/>
      <c r="AA18" s="7">
        <f t="shared" si="9"/>
        <v>0</v>
      </c>
      <c r="AB18" s="10"/>
      <c r="AC18" s="7">
        <f t="shared" si="12"/>
        <v>0</v>
      </c>
      <c r="AD18" s="10"/>
      <c r="AE18" s="7">
        <f t="shared" si="10"/>
        <v>0</v>
      </c>
      <c r="AF18" s="10"/>
      <c r="AG18" s="3"/>
      <c r="AH18" s="3"/>
      <c r="AI18" s="3"/>
      <c r="AJ18" s="3"/>
    </row>
    <row r="19">
      <c r="A19" s="23"/>
      <c r="B19" s="49">
        <v>46162.0</v>
      </c>
      <c r="C19" s="6" t="s">
        <v>41</v>
      </c>
      <c r="D19" s="7" t="s">
        <v>40</v>
      </c>
      <c r="E19" s="23"/>
      <c r="F19" s="8"/>
      <c r="G19" s="23"/>
      <c r="H19" s="23"/>
      <c r="I19" s="23"/>
      <c r="J19" s="23"/>
      <c r="K19" s="23"/>
      <c r="L19" s="9"/>
      <c r="M19" s="7">
        <f t="shared" si="14"/>
        <v>0</v>
      </c>
      <c r="N19" s="10"/>
      <c r="O19" s="7">
        <f t="shared" si="3"/>
        <v>0</v>
      </c>
      <c r="P19" s="12"/>
      <c r="Q19" s="7">
        <f t="shared" si="4"/>
        <v>0</v>
      </c>
      <c r="R19" s="7"/>
      <c r="S19" s="7">
        <f t="shared" si="5"/>
        <v>0</v>
      </c>
      <c r="T19" s="10"/>
      <c r="U19" s="7">
        <f t="shared" si="6"/>
        <v>0</v>
      </c>
      <c r="V19" s="12"/>
      <c r="W19" s="7">
        <f t="shared" si="13"/>
        <v>0</v>
      </c>
      <c r="X19" s="12"/>
      <c r="Y19" s="7">
        <f t="shared" si="8"/>
        <v>0</v>
      </c>
      <c r="Z19" s="9"/>
      <c r="AA19" s="7">
        <f t="shared" si="9"/>
        <v>0</v>
      </c>
      <c r="AB19" s="10"/>
      <c r="AC19" s="7">
        <f t="shared" si="12"/>
        <v>0</v>
      </c>
      <c r="AD19" s="10"/>
      <c r="AE19" s="7">
        <f t="shared" si="10"/>
        <v>0</v>
      </c>
      <c r="AF19" s="10"/>
      <c r="AG19" s="3"/>
      <c r="AH19" s="3"/>
      <c r="AI19" s="3"/>
      <c r="AJ19" s="3"/>
    </row>
    <row r="20">
      <c r="A20" s="43"/>
      <c r="B20" s="50">
        <v>46164.0</v>
      </c>
      <c r="C20" s="6" t="s">
        <v>39</v>
      </c>
      <c r="D20" s="7" t="s">
        <v>40</v>
      </c>
      <c r="E20" s="23">
        <v>1200.0</v>
      </c>
      <c r="F20" s="8"/>
      <c r="G20" s="9">
        <v>6.5</v>
      </c>
      <c r="H20" s="9">
        <v>2.0</v>
      </c>
      <c r="I20" s="9">
        <v>70.0</v>
      </c>
      <c r="J20" s="9">
        <v>0.2</v>
      </c>
      <c r="K20" s="10"/>
      <c r="L20" s="9">
        <v>1.0</v>
      </c>
      <c r="M20" s="7">
        <f t="shared" si="14"/>
        <v>0</v>
      </c>
      <c r="N20" s="10"/>
      <c r="O20" s="7">
        <f t="shared" si="3"/>
        <v>0</v>
      </c>
      <c r="P20" s="12"/>
      <c r="Q20" s="7">
        <f t="shared" si="4"/>
        <v>0</v>
      </c>
      <c r="R20" s="4"/>
      <c r="S20" s="7">
        <f t="shared" si="5"/>
        <v>0</v>
      </c>
      <c r="T20" s="12"/>
      <c r="U20" s="7">
        <f t="shared" si="6"/>
        <v>0</v>
      </c>
      <c r="V20" s="10"/>
      <c r="W20" s="7">
        <f t="shared" si="13"/>
        <v>0</v>
      </c>
      <c r="X20" s="12"/>
      <c r="Y20" s="7">
        <f t="shared" si="8"/>
        <v>0</v>
      </c>
      <c r="Z20" s="10"/>
      <c r="AA20" s="7">
        <f t="shared" si="9"/>
        <v>0</v>
      </c>
      <c r="AB20" s="10"/>
      <c r="AC20" s="7">
        <f t="shared" si="12"/>
        <v>0</v>
      </c>
      <c r="AD20" s="10"/>
      <c r="AE20" s="7">
        <f t="shared" si="10"/>
        <v>0</v>
      </c>
      <c r="AF20" s="10"/>
      <c r="AG20" s="3"/>
      <c r="AH20" s="3"/>
      <c r="AI20" s="3"/>
      <c r="AJ20" s="3"/>
    </row>
    <row r="21">
      <c r="A21" s="9"/>
      <c r="B21" s="51">
        <v>46167.0</v>
      </c>
      <c r="C21" s="9" t="s">
        <v>41</v>
      </c>
      <c r="D21" s="7" t="s">
        <v>40</v>
      </c>
      <c r="E21" s="52">
        <f>(O21+Q21+U21+W21)</f>
        <v>1054.4</v>
      </c>
      <c r="F21" s="53"/>
      <c r="G21" s="9"/>
      <c r="H21" s="9"/>
      <c r="I21" s="9"/>
      <c r="J21" s="9"/>
      <c r="K21" s="10"/>
      <c r="L21" s="10"/>
      <c r="M21" s="10"/>
      <c r="N21" s="10"/>
      <c r="O21" s="7">
        <f t="shared" si="3"/>
        <v>500</v>
      </c>
      <c r="P21" s="9">
        <v>25.0</v>
      </c>
      <c r="Q21" s="7">
        <f t="shared" si="4"/>
        <v>400</v>
      </c>
      <c r="R21" s="4">
        <v>20.0</v>
      </c>
      <c r="S21" s="7">
        <f t="shared" si="5"/>
        <v>0</v>
      </c>
      <c r="T21" s="10"/>
      <c r="U21" s="7">
        <f t="shared" si="6"/>
        <v>45</v>
      </c>
      <c r="V21" s="9">
        <v>18.0</v>
      </c>
      <c r="W21" s="7">
        <f t="shared" si="13"/>
        <v>109.4</v>
      </c>
      <c r="X21" s="9">
        <f>146+72.8</f>
        <v>218.8</v>
      </c>
      <c r="Y21" s="7">
        <f t="shared" si="8"/>
        <v>0</v>
      </c>
      <c r="Z21" s="10"/>
      <c r="AA21" s="7">
        <f t="shared" si="9"/>
        <v>0</v>
      </c>
      <c r="AB21" s="10"/>
      <c r="AC21" s="7">
        <f t="shared" si="12"/>
        <v>0</v>
      </c>
      <c r="AD21" s="10"/>
      <c r="AE21" s="7">
        <f t="shared" si="10"/>
        <v>0</v>
      </c>
      <c r="AF21" s="10"/>
      <c r="AG21" s="3"/>
      <c r="AH21" s="3"/>
      <c r="AI21" s="3"/>
      <c r="AJ21" s="3"/>
    </row>
    <row r="22">
      <c r="A22" s="9">
        <v>47.0</v>
      </c>
      <c r="B22" s="5">
        <v>46168.0</v>
      </c>
      <c r="C22" s="9" t="s">
        <v>39</v>
      </c>
      <c r="D22" s="7" t="s">
        <v>40</v>
      </c>
      <c r="E22" s="54">
        <v>480.0</v>
      </c>
      <c r="F22" s="53">
        <f>E22-G22-H22-I22-J22-K22-L22</f>
        <v>461.3</v>
      </c>
      <c r="G22" s="9">
        <v>8.0</v>
      </c>
      <c r="H22" s="9">
        <v>5.0</v>
      </c>
      <c r="I22" s="9">
        <v>4.0</v>
      </c>
      <c r="J22" s="9">
        <v>0.2</v>
      </c>
      <c r="K22" s="10"/>
      <c r="L22" s="9">
        <v>1.5</v>
      </c>
      <c r="M22" s="10"/>
      <c r="N22" s="10"/>
      <c r="O22" s="7">
        <f t="shared" si="3"/>
        <v>0</v>
      </c>
      <c r="P22" s="10"/>
      <c r="Q22" s="7">
        <f t="shared" si="4"/>
        <v>0</v>
      </c>
      <c r="R22" s="7"/>
      <c r="S22" s="7">
        <f t="shared" si="5"/>
        <v>0</v>
      </c>
      <c r="T22" s="10"/>
      <c r="U22" s="7">
        <f t="shared" si="6"/>
        <v>0</v>
      </c>
      <c r="V22" s="10"/>
      <c r="W22" s="7">
        <f t="shared" si="13"/>
        <v>0</v>
      </c>
      <c r="X22" s="10"/>
      <c r="Y22" s="7">
        <f t="shared" si="8"/>
        <v>0</v>
      </c>
      <c r="Z22" s="10"/>
      <c r="AA22" s="7">
        <f t="shared" si="9"/>
        <v>0</v>
      </c>
      <c r="AB22" s="10"/>
      <c r="AC22" s="7">
        <f t="shared" si="12"/>
        <v>0</v>
      </c>
      <c r="AD22" s="10"/>
      <c r="AE22" s="7">
        <f t="shared" si="10"/>
        <v>0</v>
      </c>
      <c r="AF22" s="10"/>
      <c r="AI22" s="3"/>
      <c r="AJ22" s="3"/>
    </row>
    <row r="23">
      <c r="A23" s="9"/>
      <c r="B23" s="49">
        <v>46169.0</v>
      </c>
      <c r="C23" s="9" t="s">
        <v>41</v>
      </c>
      <c r="D23" s="7" t="s">
        <v>40</v>
      </c>
      <c r="E23" s="54"/>
      <c r="F23" s="53"/>
      <c r="G23" s="9"/>
      <c r="H23" s="9"/>
      <c r="I23" s="9"/>
      <c r="J23" s="9"/>
      <c r="K23" s="10"/>
      <c r="L23" s="10"/>
      <c r="M23" s="10"/>
      <c r="N23" s="10"/>
      <c r="O23" s="7">
        <f t="shared" si="3"/>
        <v>0</v>
      </c>
      <c r="P23" s="10"/>
      <c r="Q23" s="7">
        <f t="shared" si="4"/>
        <v>0</v>
      </c>
      <c r="R23" s="7"/>
      <c r="S23" s="7">
        <f t="shared" si="5"/>
        <v>0</v>
      </c>
      <c r="T23" s="10"/>
      <c r="U23" s="7">
        <f t="shared" si="6"/>
        <v>0</v>
      </c>
      <c r="V23" s="10"/>
      <c r="W23" s="7">
        <f t="shared" si="13"/>
        <v>0</v>
      </c>
      <c r="X23" s="10"/>
      <c r="Y23" s="7">
        <f t="shared" si="8"/>
        <v>0</v>
      </c>
      <c r="Z23" s="10"/>
      <c r="AA23" s="7">
        <f t="shared" si="9"/>
        <v>0</v>
      </c>
      <c r="AB23" s="10"/>
      <c r="AC23" s="7">
        <f t="shared" si="12"/>
        <v>0</v>
      </c>
      <c r="AD23" s="10"/>
      <c r="AE23" s="7">
        <f t="shared" si="10"/>
        <v>0</v>
      </c>
      <c r="AF23" s="10"/>
      <c r="AI23" s="3"/>
      <c r="AJ23" s="3"/>
    </row>
    <row r="24">
      <c r="A24" s="9"/>
      <c r="B24" s="49">
        <v>46170.0</v>
      </c>
      <c r="C24" s="9" t="s">
        <v>41</v>
      </c>
      <c r="D24" s="7" t="s">
        <v>40</v>
      </c>
      <c r="E24" s="54"/>
      <c r="F24" s="53"/>
      <c r="G24" s="9"/>
      <c r="H24" s="9"/>
      <c r="I24" s="9"/>
      <c r="J24" s="9"/>
      <c r="K24" s="10"/>
      <c r="L24" s="10"/>
      <c r="M24" s="10"/>
      <c r="N24" s="10"/>
      <c r="O24" s="7">
        <f t="shared" si="3"/>
        <v>0</v>
      </c>
      <c r="P24" s="10"/>
      <c r="Q24" s="7">
        <f t="shared" si="4"/>
        <v>0</v>
      </c>
      <c r="R24" s="7"/>
      <c r="S24" s="7">
        <f t="shared" si="5"/>
        <v>0</v>
      </c>
      <c r="T24" s="10"/>
      <c r="U24" s="7">
        <f t="shared" si="6"/>
        <v>0</v>
      </c>
      <c r="V24" s="10"/>
      <c r="W24" s="7">
        <f t="shared" si="13"/>
        <v>0</v>
      </c>
      <c r="X24" s="10"/>
      <c r="Y24" s="7">
        <f t="shared" si="8"/>
        <v>0</v>
      </c>
      <c r="Z24" s="10"/>
      <c r="AA24" s="7">
        <f t="shared" si="9"/>
        <v>0</v>
      </c>
      <c r="AB24" s="10"/>
      <c r="AC24" s="7">
        <f t="shared" si="12"/>
        <v>0</v>
      </c>
      <c r="AD24" s="10"/>
      <c r="AE24" s="7">
        <f t="shared" si="10"/>
        <v>0</v>
      </c>
      <c r="AF24" s="10"/>
      <c r="AI24" s="3"/>
      <c r="AJ24" s="3"/>
    </row>
    <row r="25">
      <c r="A25" s="9">
        <v>354.0</v>
      </c>
      <c r="B25" s="5">
        <v>46171.0</v>
      </c>
      <c r="C25" s="9" t="s">
        <v>39</v>
      </c>
      <c r="D25" s="7" t="s">
        <v>40</v>
      </c>
      <c r="E25" s="54">
        <v>480.0</v>
      </c>
      <c r="F25" s="53">
        <f>E25-G25-H25-I25-J25-K25-L25</f>
        <v>417.7</v>
      </c>
      <c r="G25" s="9">
        <v>10.0</v>
      </c>
      <c r="H25" s="9">
        <v>2.0</v>
      </c>
      <c r="I25" s="9">
        <v>50.0</v>
      </c>
      <c r="J25" s="9">
        <v>0.3</v>
      </c>
      <c r="K25" s="10"/>
      <c r="L25" s="10"/>
      <c r="M25" s="10"/>
      <c r="N25" s="10"/>
      <c r="O25" s="7">
        <f t="shared" si="3"/>
        <v>0</v>
      </c>
      <c r="P25" s="10"/>
      <c r="Q25" s="7">
        <f t="shared" si="4"/>
        <v>0</v>
      </c>
      <c r="R25" s="7"/>
      <c r="S25" s="7">
        <f t="shared" si="5"/>
        <v>0</v>
      </c>
      <c r="T25" s="10"/>
      <c r="U25" s="7">
        <f t="shared" si="6"/>
        <v>0</v>
      </c>
      <c r="V25" s="10"/>
      <c r="W25" s="7">
        <f t="shared" si="13"/>
        <v>0</v>
      </c>
      <c r="X25" s="10"/>
      <c r="Y25" s="7">
        <f t="shared" si="8"/>
        <v>0</v>
      </c>
      <c r="Z25" s="10"/>
      <c r="AA25" s="7">
        <f t="shared" si="9"/>
        <v>0</v>
      </c>
      <c r="AB25" s="10"/>
      <c r="AC25" s="7">
        <f t="shared" si="12"/>
        <v>0</v>
      </c>
      <c r="AD25" s="10"/>
      <c r="AE25" s="7">
        <f t="shared" si="10"/>
        <v>0</v>
      </c>
      <c r="AF25" s="10"/>
      <c r="AI25" s="3"/>
      <c r="AJ25" s="3"/>
    </row>
    <row r="26">
      <c r="A26" s="32" t="s">
        <v>55</v>
      </c>
      <c r="B26" s="33"/>
      <c r="C26" s="33"/>
      <c r="D26" s="34"/>
      <c r="E26" s="35" t="str">
        <f>SUM(F26:AE26)</f>
        <v>#VALUE!</v>
      </c>
      <c r="F26" s="35" t="str">
        <f t="shared" ref="F26:Q26" si="16">SUM(F3:F21)</f>
        <v>#VALUE!</v>
      </c>
      <c r="G26" s="35">
        <f t="shared" si="16"/>
        <v>115</v>
      </c>
      <c r="H26" s="35">
        <f t="shared" si="16"/>
        <v>127</v>
      </c>
      <c r="I26" s="35">
        <f t="shared" si="16"/>
        <v>251.5</v>
      </c>
      <c r="J26" s="35">
        <f t="shared" si="16"/>
        <v>3.4</v>
      </c>
      <c r="K26" s="37">
        <f t="shared" si="16"/>
        <v>0</v>
      </c>
      <c r="L26" s="35">
        <f t="shared" si="16"/>
        <v>7.5</v>
      </c>
      <c r="M26" s="35">
        <f t="shared" si="16"/>
        <v>0</v>
      </c>
      <c r="N26" s="35">
        <f t="shared" si="16"/>
        <v>0</v>
      </c>
      <c r="O26" s="35">
        <f t="shared" si="16"/>
        <v>1020</v>
      </c>
      <c r="P26" s="35">
        <f t="shared" si="16"/>
        <v>51</v>
      </c>
      <c r="Q26" s="35">
        <f t="shared" si="16"/>
        <v>620</v>
      </c>
      <c r="R26" s="35"/>
      <c r="S26" s="35"/>
      <c r="T26" s="35"/>
      <c r="U26" s="35"/>
      <c r="V26" s="35"/>
      <c r="W26" s="35"/>
      <c r="X26" s="35"/>
      <c r="Y26" s="35">
        <f t="shared" ref="Y26:AF26" si="17">SUM(Y3:Y21)</f>
        <v>0</v>
      </c>
      <c r="Z26" s="35">
        <f t="shared" si="17"/>
        <v>0</v>
      </c>
      <c r="AA26" s="35">
        <f t="shared" si="17"/>
        <v>0</v>
      </c>
      <c r="AB26" s="35">
        <f t="shared" si="17"/>
        <v>0</v>
      </c>
      <c r="AC26" s="35">
        <f t="shared" si="17"/>
        <v>0</v>
      </c>
      <c r="AD26" s="35">
        <f t="shared" si="17"/>
        <v>0</v>
      </c>
      <c r="AE26" s="37">
        <f t="shared" si="17"/>
        <v>0</v>
      </c>
      <c r="AF26" s="35">
        <f t="shared" si="17"/>
        <v>0</v>
      </c>
      <c r="AG26" s="3"/>
      <c r="AH26" s="3"/>
      <c r="AI26" s="3"/>
      <c r="AJ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>
      <c r="A28" s="3"/>
      <c r="B28" s="13" t="s">
        <v>56</v>
      </c>
      <c r="C28" s="3"/>
      <c r="D28" s="3"/>
      <c r="E28" s="3"/>
      <c r="F28" s="3"/>
      <c r="G28" s="13" t="s">
        <v>57</v>
      </c>
      <c r="H28" s="38">
        <f>H26+I26+M26+U26+W26+AE26+L26</f>
        <v>386</v>
      </c>
      <c r="I28" s="3"/>
      <c r="J28" s="13" t="s">
        <v>58</v>
      </c>
      <c r="K28" s="13"/>
      <c r="L28" s="38" t="str">
        <f>SUM(F26+G26)</f>
        <v>#VALUE!</v>
      </c>
      <c r="M28" s="3"/>
      <c r="N28" s="13" t="s">
        <v>59</v>
      </c>
      <c r="O28" s="38">
        <f>J26+AC26</f>
        <v>3.4</v>
      </c>
      <c r="P28" s="3"/>
      <c r="Q28" s="3"/>
      <c r="R28" s="3"/>
      <c r="S28" s="3"/>
      <c r="T28" s="3"/>
      <c r="U28" s="3"/>
      <c r="V28" s="3"/>
      <c r="W28" s="3"/>
      <c r="X28" s="3"/>
      <c r="Y28" s="41">
        <f t="shared" ref="Y28:Z28" si="18">SUM(Y26,AA26,AC26,AE26)</f>
        <v>0</v>
      </c>
      <c r="Z28" s="38">
        <f t="shared" si="18"/>
        <v>0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>
      <c r="A29" s="2" t="s">
        <v>16</v>
      </c>
      <c r="B29" s="2" t="s">
        <v>1</v>
      </c>
      <c r="C29" s="2" t="s">
        <v>61</v>
      </c>
      <c r="D29" s="2" t="s">
        <v>62</v>
      </c>
      <c r="E29" s="2" t="s">
        <v>63</v>
      </c>
      <c r="F29" s="3"/>
      <c r="G29" s="13" t="s">
        <v>64</v>
      </c>
      <c r="H29" s="13" t="s">
        <v>65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10"/>
      <c r="B30" s="31"/>
      <c r="C30" s="24" t="s">
        <v>66</v>
      </c>
      <c r="D30" s="10"/>
      <c r="E30" s="10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13" t="s">
        <v>67</v>
      </c>
      <c r="X30" s="38">
        <f>X26+V26</f>
        <v>0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10"/>
      <c r="B31" s="31"/>
      <c r="C31" s="24" t="s">
        <v>66</v>
      </c>
      <c r="D31" s="10"/>
      <c r="E31" s="10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13" t="s">
        <v>68</v>
      </c>
      <c r="X31" s="38">
        <f>W26+U26</f>
        <v>0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10"/>
      <c r="B32" s="31"/>
      <c r="C32" s="24" t="s">
        <v>66</v>
      </c>
      <c r="D32" s="10"/>
      <c r="E32" s="10"/>
      <c r="F32" s="3"/>
      <c r="G32" s="42">
        <f>SUM(F20:L20)</f>
        <v>79.7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10"/>
      <c r="B33" s="31"/>
      <c r="C33" s="24" t="s">
        <v>66</v>
      </c>
      <c r="D33" s="10"/>
      <c r="E33" s="1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10"/>
      <c r="B34" s="31"/>
      <c r="C34" s="10"/>
      <c r="D34" s="7">
        <f>E34*20</f>
        <v>0</v>
      </c>
      <c r="E34" s="1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>
      <c r="A35" s="10"/>
      <c r="B35" s="31"/>
      <c r="C35" s="10"/>
      <c r="D35" s="10"/>
      <c r="E35" s="1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>
      <c r="A36" s="10"/>
      <c r="B36" s="31"/>
      <c r="C36" s="10"/>
      <c r="D36" s="10"/>
      <c r="E36" s="1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>
      <c r="A37" s="10"/>
      <c r="B37" s="31"/>
      <c r="C37" s="10"/>
      <c r="D37" s="10"/>
      <c r="E37" s="1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10"/>
      <c r="B38" s="31"/>
      <c r="C38" s="10"/>
      <c r="D38" s="10"/>
      <c r="E38" s="1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10"/>
      <c r="B39" s="31"/>
      <c r="C39" s="10"/>
      <c r="D39" s="10"/>
      <c r="E39" s="10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10"/>
      <c r="B40" s="31"/>
      <c r="C40" s="10"/>
      <c r="D40" s="10"/>
      <c r="E40" s="10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>
      <c r="A41" s="10"/>
      <c r="B41" s="31"/>
      <c r="C41" s="10"/>
      <c r="D41" s="10"/>
      <c r="E41" s="10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10"/>
      <c r="B42" s="31"/>
      <c r="C42" s="10"/>
      <c r="D42" s="10"/>
      <c r="E42" s="1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10"/>
      <c r="B43" s="31"/>
      <c r="C43" s="10"/>
      <c r="D43" s="10"/>
      <c r="E43" s="1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</row>
  </sheetData>
  <mergeCells count="1">
    <mergeCell ref="A26:D26"/>
  </mergeCells>
  <dataValidations>
    <dataValidation type="list" allowBlank="1" showErrorMessage="1" sqref="C30:C43">
      <formula1>"Palet,Carrete de Madera,Carrete Plástico,Tambores 120 lts"</formula1>
    </dataValidation>
    <dataValidation type="list" allowBlank="1" showErrorMessage="1" sqref="C2:C25">
      <formula1>"AREAS PRODUCTIVAS,bod, Apd, Ácido,puntos verdes y HSEC"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30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 t="s">
        <v>32</v>
      </c>
      <c r="R1" s="1" t="s">
        <v>33</v>
      </c>
      <c r="S1" s="2" t="s">
        <v>15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3"/>
      <c r="AH1" s="3"/>
      <c r="AI1" s="3"/>
      <c r="AJ1" s="3"/>
    </row>
    <row r="2">
      <c r="A2" s="4">
        <v>356.0</v>
      </c>
      <c r="B2" s="5">
        <v>46174.0</v>
      </c>
      <c r="C2" s="6" t="s">
        <v>41</v>
      </c>
      <c r="D2" s="7" t="s">
        <v>40</v>
      </c>
      <c r="E2" s="4">
        <v>1220.0</v>
      </c>
      <c r="F2" s="8"/>
      <c r="G2" s="9"/>
      <c r="H2" s="9"/>
      <c r="I2" s="9"/>
      <c r="J2" s="9"/>
      <c r="K2" s="9"/>
      <c r="L2" s="10"/>
      <c r="M2" s="7"/>
      <c r="N2" s="10"/>
      <c r="O2" s="7">
        <f t="shared" ref="O2:O24" si="1">P2*20</f>
        <v>300</v>
      </c>
      <c r="P2" s="4">
        <v>15.0</v>
      </c>
      <c r="Q2" s="7">
        <f t="shared" ref="Q2:Q24" si="2">(R2*20)</f>
        <v>0</v>
      </c>
      <c r="R2" s="4"/>
      <c r="S2" s="7">
        <f t="shared" ref="S2:S24" si="3">T2*5.5</f>
        <v>753.5</v>
      </c>
      <c r="T2" s="4">
        <v>137.0</v>
      </c>
      <c r="U2" s="7">
        <f t="shared" ref="U2:U24" si="4">V2*1.5</f>
        <v>16.5</v>
      </c>
      <c r="V2" s="9">
        <v>11.0</v>
      </c>
      <c r="W2" s="7">
        <f t="shared" ref="W2:W24" si="5">X2*1</f>
        <v>0</v>
      </c>
      <c r="X2" s="4"/>
      <c r="Y2" s="7"/>
      <c r="Z2" s="10"/>
      <c r="AA2" s="7"/>
      <c r="AB2" s="10"/>
      <c r="AC2" s="7"/>
      <c r="AD2" s="7"/>
      <c r="AE2" s="7"/>
      <c r="AF2" s="10"/>
      <c r="AG2" s="13"/>
      <c r="AH2" s="3"/>
      <c r="AI2" s="3"/>
      <c r="AJ2" s="3"/>
    </row>
    <row r="3">
      <c r="A3" s="4">
        <v>358.0</v>
      </c>
      <c r="B3" s="5">
        <v>46175.0</v>
      </c>
      <c r="C3" s="6" t="s">
        <v>39</v>
      </c>
      <c r="D3" s="7" t="s">
        <v>40</v>
      </c>
      <c r="E3" s="4">
        <v>620.0</v>
      </c>
      <c r="F3" s="8">
        <f>E3-G3-H3-I3-J3-K3-L3</f>
        <v>579</v>
      </c>
      <c r="G3" s="9">
        <v>26.0</v>
      </c>
      <c r="H3" s="9">
        <v>5.0</v>
      </c>
      <c r="I3" s="9">
        <v>6.0</v>
      </c>
      <c r="J3" s="9">
        <v>0.5</v>
      </c>
      <c r="K3" s="9"/>
      <c r="L3" s="9">
        <v>3.5</v>
      </c>
      <c r="M3" s="7">
        <f t="shared" ref="M3:M8" si="6">N3*10</f>
        <v>0</v>
      </c>
      <c r="N3" s="10"/>
      <c r="O3" s="7">
        <f t="shared" si="1"/>
        <v>0</v>
      </c>
      <c r="P3" s="4"/>
      <c r="Q3" s="7">
        <f t="shared" si="2"/>
        <v>0</v>
      </c>
      <c r="R3" s="4"/>
      <c r="S3" s="7">
        <f t="shared" si="3"/>
        <v>0</v>
      </c>
      <c r="T3" s="4"/>
      <c r="U3" s="7">
        <f t="shared" si="4"/>
        <v>0</v>
      </c>
      <c r="V3" s="9"/>
      <c r="W3" s="7">
        <f t="shared" si="5"/>
        <v>0</v>
      </c>
      <c r="X3" s="4"/>
      <c r="Y3" s="7">
        <f t="shared" ref="Y3:Y16" si="7">Z3*1.4</f>
        <v>0</v>
      </c>
      <c r="Z3" s="10"/>
      <c r="AA3" s="7">
        <f t="shared" ref="AA3:AA24" si="8">AB3*1.2</f>
        <v>0</v>
      </c>
      <c r="AB3" s="10"/>
      <c r="AC3" s="7">
        <f>AD3*16</f>
        <v>0</v>
      </c>
      <c r="AD3" s="7">
        <v>0.0</v>
      </c>
      <c r="AE3" s="7">
        <f t="shared" ref="AE3:AE24" si="9">AF3*2.275</f>
        <v>0</v>
      </c>
      <c r="AF3" s="10"/>
      <c r="AG3" s="13"/>
      <c r="AH3" s="3"/>
      <c r="AI3" s="3"/>
      <c r="AJ3" s="3"/>
    </row>
    <row r="4">
      <c r="A4" s="4">
        <v>360.0</v>
      </c>
      <c r="B4" s="5">
        <v>46176.0</v>
      </c>
      <c r="C4" s="6" t="s">
        <v>41</v>
      </c>
      <c r="D4" s="7" t="s">
        <v>40</v>
      </c>
      <c r="E4" s="4">
        <v>1050.0</v>
      </c>
      <c r="F4" s="8"/>
      <c r="G4" s="4" t="s">
        <v>70</v>
      </c>
      <c r="H4" s="4"/>
      <c r="I4" s="4"/>
      <c r="J4" s="4"/>
      <c r="K4" s="7"/>
      <c r="L4" s="9"/>
      <c r="M4" s="7">
        <f t="shared" si="6"/>
        <v>0</v>
      </c>
      <c r="N4" s="10"/>
      <c r="O4" s="7">
        <f t="shared" si="1"/>
        <v>0</v>
      </c>
      <c r="P4" s="9"/>
      <c r="Q4" s="7">
        <f t="shared" si="2"/>
        <v>0</v>
      </c>
      <c r="R4" s="7"/>
      <c r="S4" s="7">
        <f t="shared" si="3"/>
        <v>0</v>
      </c>
      <c r="T4" s="12"/>
      <c r="U4" s="7">
        <f t="shared" si="4"/>
        <v>0</v>
      </c>
      <c r="V4" s="12"/>
      <c r="W4" s="7">
        <f t="shared" si="5"/>
        <v>0</v>
      </c>
      <c r="X4" s="12"/>
      <c r="Y4" s="7">
        <f t="shared" si="7"/>
        <v>0</v>
      </c>
      <c r="Z4" s="10"/>
      <c r="AA4" s="7">
        <f t="shared" si="8"/>
        <v>0</v>
      </c>
      <c r="AB4" s="10"/>
      <c r="AC4" s="7">
        <v>0.0</v>
      </c>
      <c r="AD4" s="10"/>
      <c r="AE4" s="7">
        <f t="shared" si="9"/>
        <v>0</v>
      </c>
      <c r="AF4" s="10"/>
      <c r="AG4" s="3"/>
      <c r="AH4" s="3"/>
      <c r="AI4" s="3"/>
      <c r="AJ4" s="3"/>
    </row>
    <row r="5">
      <c r="A5" s="43">
        <v>362.0</v>
      </c>
      <c r="B5" s="50">
        <v>46177.0</v>
      </c>
      <c r="C5" s="44" t="s">
        <v>41</v>
      </c>
      <c r="D5" s="45" t="s">
        <v>40</v>
      </c>
      <c r="E5" s="43">
        <v>1000.0</v>
      </c>
      <c r="F5" s="8"/>
      <c r="G5" s="46"/>
      <c r="H5" s="46"/>
      <c r="I5" s="46"/>
      <c r="J5" s="46"/>
      <c r="K5" s="46"/>
      <c r="L5" s="46"/>
      <c r="M5" s="45">
        <f t="shared" si="6"/>
        <v>0</v>
      </c>
      <c r="N5" s="47"/>
      <c r="O5" s="45">
        <f t="shared" si="1"/>
        <v>600</v>
      </c>
      <c r="P5" s="48">
        <v>30.0</v>
      </c>
      <c r="Q5" s="45">
        <f t="shared" si="2"/>
        <v>400</v>
      </c>
      <c r="R5" s="48">
        <v>20.0</v>
      </c>
      <c r="S5" s="45">
        <f t="shared" si="3"/>
        <v>0</v>
      </c>
      <c r="T5" s="48"/>
      <c r="U5" s="7">
        <f t="shared" si="4"/>
        <v>0</v>
      </c>
      <c r="V5" s="48">
        <v>0.0</v>
      </c>
      <c r="W5" s="7">
        <f t="shared" si="5"/>
        <v>0</v>
      </c>
      <c r="X5" s="48">
        <v>0.0</v>
      </c>
      <c r="Y5" s="45">
        <f t="shared" si="7"/>
        <v>0</v>
      </c>
      <c r="Z5" s="47"/>
      <c r="AA5" s="45">
        <f t="shared" si="8"/>
        <v>0</v>
      </c>
      <c r="AB5" s="47"/>
      <c r="AC5" s="45">
        <f t="shared" ref="AC5:AC24" si="10">AD5*16</f>
        <v>0</v>
      </c>
      <c r="AD5" s="47"/>
      <c r="AE5" s="45">
        <f t="shared" si="9"/>
        <v>0</v>
      </c>
      <c r="AF5" s="47"/>
      <c r="AG5" s="22"/>
      <c r="AH5" s="22"/>
      <c r="AI5" s="22"/>
      <c r="AJ5" s="22"/>
    </row>
    <row r="6">
      <c r="A6" s="23">
        <v>364.0</v>
      </c>
      <c r="B6" s="50">
        <v>46178.0</v>
      </c>
      <c r="C6" s="6" t="s">
        <v>39</v>
      </c>
      <c r="D6" s="7" t="s">
        <v>40</v>
      </c>
      <c r="E6" s="23">
        <v>780.0</v>
      </c>
      <c r="F6" s="8">
        <f>E6-G6-H6-I6-J6-K6-L6</f>
        <v>726.7</v>
      </c>
      <c r="G6" s="9">
        <v>3.0</v>
      </c>
      <c r="H6" s="9">
        <v>2.0</v>
      </c>
      <c r="I6" s="9">
        <v>48.0</v>
      </c>
      <c r="J6" s="9">
        <v>0.3</v>
      </c>
      <c r="K6" s="10"/>
      <c r="L6" s="9"/>
      <c r="M6" s="7">
        <f t="shared" si="6"/>
        <v>0</v>
      </c>
      <c r="N6" s="12"/>
      <c r="O6" s="7">
        <f t="shared" si="1"/>
        <v>700</v>
      </c>
      <c r="P6" s="23">
        <v>35.0</v>
      </c>
      <c r="Q6" s="7">
        <f t="shared" si="2"/>
        <v>0</v>
      </c>
      <c r="R6" s="4"/>
      <c r="S6" s="7">
        <f t="shared" si="3"/>
        <v>0</v>
      </c>
      <c r="T6" s="12"/>
      <c r="U6" s="7">
        <f t="shared" si="4"/>
        <v>0</v>
      </c>
      <c r="V6" s="12"/>
      <c r="W6" s="7">
        <f t="shared" si="5"/>
        <v>0</v>
      </c>
      <c r="X6" s="12"/>
      <c r="Y6" s="7">
        <f t="shared" si="7"/>
        <v>0</v>
      </c>
      <c r="Z6" s="10"/>
      <c r="AA6" s="7">
        <f t="shared" si="8"/>
        <v>0</v>
      </c>
      <c r="AB6" s="10"/>
      <c r="AC6" s="7">
        <f t="shared" si="10"/>
        <v>0</v>
      </c>
      <c r="AD6" s="10"/>
      <c r="AE6" s="7">
        <f t="shared" si="9"/>
        <v>0</v>
      </c>
      <c r="AF6" s="10"/>
      <c r="AG6" s="3"/>
      <c r="AH6" s="3"/>
      <c r="AI6" s="3"/>
      <c r="AJ6" s="3"/>
    </row>
    <row r="7">
      <c r="A7" s="23">
        <v>366.0</v>
      </c>
      <c r="B7" s="5">
        <v>46181.0</v>
      </c>
      <c r="C7" s="6" t="s">
        <v>41</v>
      </c>
      <c r="D7" s="7" t="s">
        <v>40</v>
      </c>
      <c r="E7" s="23">
        <v>1100.0</v>
      </c>
      <c r="F7" s="8"/>
      <c r="G7" s="9"/>
      <c r="H7" s="4"/>
      <c r="I7" s="4"/>
      <c r="J7" s="4"/>
      <c r="K7" s="4"/>
      <c r="L7" s="9"/>
      <c r="M7" s="7">
        <f t="shared" si="6"/>
        <v>0</v>
      </c>
      <c r="N7" s="10"/>
      <c r="O7" s="7">
        <f t="shared" si="1"/>
        <v>360</v>
      </c>
      <c r="P7" s="12">
        <v>18.0</v>
      </c>
      <c r="Q7" s="7">
        <f t="shared" si="2"/>
        <v>0</v>
      </c>
      <c r="R7" s="7"/>
      <c r="S7" s="7">
        <f t="shared" si="3"/>
        <v>0</v>
      </c>
      <c r="T7" s="10"/>
      <c r="U7" s="7">
        <f t="shared" si="4"/>
        <v>27</v>
      </c>
      <c r="V7" s="9">
        <v>18.0</v>
      </c>
      <c r="W7" s="7">
        <f t="shared" si="5"/>
        <v>216</v>
      </c>
      <c r="X7" s="9">
        <v>216.0</v>
      </c>
      <c r="Y7" s="7">
        <f t="shared" si="7"/>
        <v>0</v>
      </c>
      <c r="Z7" s="10"/>
      <c r="AA7" s="7">
        <f t="shared" si="8"/>
        <v>0</v>
      </c>
      <c r="AB7" s="10"/>
      <c r="AC7" s="7">
        <f t="shared" si="10"/>
        <v>0</v>
      </c>
      <c r="AD7" s="10"/>
      <c r="AE7" s="7">
        <f t="shared" si="9"/>
        <v>0</v>
      </c>
      <c r="AF7" s="10"/>
      <c r="AG7" s="3"/>
      <c r="AH7" s="3"/>
      <c r="AI7" s="3"/>
      <c r="AJ7" s="3"/>
    </row>
    <row r="8">
      <c r="A8" s="23">
        <v>368.0</v>
      </c>
      <c r="B8" s="5">
        <v>46182.0</v>
      </c>
      <c r="C8" s="6" t="s">
        <v>39</v>
      </c>
      <c r="D8" s="7" t="s">
        <v>40</v>
      </c>
      <c r="E8" s="23">
        <v>750.0</v>
      </c>
      <c r="F8" s="8"/>
      <c r="G8" s="26"/>
      <c r="H8" s="12"/>
      <c r="I8" s="12"/>
      <c r="J8" s="12"/>
      <c r="K8" s="12"/>
      <c r="L8" s="12"/>
      <c r="M8" s="7">
        <f t="shared" si="6"/>
        <v>0</v>
      </c>
      <c r="N8" s="10"/>
      <c r="O8" s="7">
        <f t="shared" si="1"/>
        <v>0</v>
      </c>
      <c r="P8" s="4"/>
      <c r="Q8" s="7">
        <f t="shared" si="2"/>
        <v>0</v>
      </c>
      <c r="R8" s="4"/>
      <c r="S8" s="7">
        <f t="shared" si="3"/>
        <v>0</v>
      </c>
      <c r="T8" s="4"/>
      <c r="U8" s="7">
        <f t="shared" si="4"/>
        <v>0</v>
      </c>
      <c r="V8" s="4"/>
      <c r="W8" s="7">
        <f t="shared" si="5"/>
        <v>0</v>
      </c>
      <c r="X8" s="4"/>
      <c r="Y8" s="7">
        <f t="shared" si="7"/>
        <v>0</v>
      </c>
      <c r="Z8" s="10"/>
      <c r="AA8" s="7">
        <f t="shared" si="8"/>
        <v>0</v>
      </c>
      <c r="AB8" s="10"/>
      <c r="AC8" s="7">
        <f t="shared" si="10"/>
        <v>0</v>
      </c>
      <c r="AD8" s="10"/>
      <c r="AE8" s="7">
        <f t="shared" si="9"/>
        <v>0</v>
      </c>
      <c r="AF8" s="10"/>
      <c r="AG8" s="3"/>
      <c r="AH8" s="3"/>
      <c r="AI8" s="3"/>
      <c r="AJ8" s="3"/>
    </row>
    <row r="9">
      <c r="A9" s="43">
        <v>370.0</v>
      </c>
      <c r="B9" s="5">
        <v>46183.0</v>
      </c>
      <c r="C9" s="6" t="s">
        <v>41</v>
      </c>
      <c r="D9" s="7" t="s">
        <v>40</v>
      </c>
      <c r="E9" s="23">
        <v>440.0</v>
      </c>
      <c r="F9" s="8"/>
      <c r="G9" s="4"/>
      <c r="H9" s="4"/>
      <c r="I9" s="4"/>
      <c r="J9" s="4"/>
      <c r="K9" s="4"/>
      <c r="L9" s="4"/>
      <c r="M9" s="7"/>
      <c r="N9" s="10"/>
      <c r="O9" s="7">
        <f t="shared" si="1"/>
        <v>440</v>
      </c>
      <c r="P9" s="12">
        <v>22.0</v>
      </c>
      <c r="Q9" s="7">
        <f t="shared" si="2"/>
        <v>0</v>
      </c>
      <c r="R9" s="7"/>
      <c r="S9" s="7">
        <f t="shared" si="3"/>
        <v>0</v>
      </c>
      <c r="T9" s="12"/>
      <c r="U9" s="7">
        <f t="shared" si="4"/>
        <v>0</v>
      </c>
      <c r="V9" s="12"/>
      <c r="W9" s="7">
        <f t="shared" si="5"/>
        <v>0</v>
      </c>
      <c r="X9" s="12"/>
      <c r="Y9" s="7">
        <f t="shared" si="7"/>
        <v>0</v>
      </c>
      <c r="Z9" s="10"/>
      <c r="AA9" s="7">
        <f t="shared" si="8"/>
        <v>0</v>
      </c>
      <c r="AB9" s="10"/>
      <c r="AC9" s="7">
        <f t="shared" si="10"/>
        <v>0</v>
      </c>
      <c r="AD9" s="10"/>
      <c r="AE9" s="7">
        <f t="shared" si="9"/>
        <v>0</v>
      </c>
      <c r="AF9" s="10"/>
      <c r="AG9" s="3"/>
      <c r="AH9" s="3"/>
      <c r="AI9" s="3"/>
      <c r="AJ9" s="3"/>
    </row>
    <row r="10">
      <c r="A10" s="23">
        <v>372.0</v>
      </c>
      <c r="B10" s="5">
        <v>46184.0</v>
      </c>
      <c r="C10" s="6" t="s">
        <v>41</v>
      </c>
      <c r="D10" s="7" t="s">
        <v>40</v>
      </c>
      <c r="E10" s="23">
        <v>1100.0</v>
      </c>
      <c r="F10" s="8"/>
      <c r="G10" s="12"/>
      <c r="H10" s="12"/>
      <c r="I10" s="12"/>
      <c r="J10" s="12"/>
      <c r="K10" s="12"/>
      <c r="L10" s="12"/>
      <c r="M10" s="7">
        <f t="shared" ref="M10:M20" si="11">N10*10</f>
        <v>0</v>
      </c>
      <c r="N10" s="10"/>
      <c r="O10" s="7">
        <f t="shared" si="1"/>
        <v>640</v>
      </c>
      <c r="P10" s="4">
        <v>32.0</v>
      </c>
      <c r="Q10" s="7">
        <f t="shared" si="2"/>
        <v>460</v>
      </c>
      <c r="R10" s="4">
        <v>23.0</v>
      </c>
      <c r="S10" s="7">
        <f t="shared" si="3"/>
        <v>0</v>
      </c>
      <c r="T10" s="4"/>
      <c r="U10" s="7">
        <f t="shared" si="4"/>
        <v>0</v>
      </c>
      <c r="V10" s="9"/>
      <c r="W10" s="7">
        <f t="shared" si="5"/>
        <v>0</v>
      </c>
      <c r="X10" s="9"/>
      <c r="Y10" s="7">
        <f t="shared" si="7"/>
        <v>0</v>
      </c>
      <c r="Z10" s="10"/>
      <c r="AA10" s="7">
        <f t="shared" si="8"/>
        <v>0</v>
      </c>
      <c r="AB10" s="10"/>
      <c r="AC10" s="7">
        <f t="shared" si="10"/>
        <v>0</v>
      </c>
      <c r="AD10" s="10"/>
      <c r="AE10" s="7">
        <f t="shared" si="9"/>
        <v>0</v>
      </c>
      <c r="AF10" s="10"/>
      <c r="AG10" s="3"/>
      <c r="AH10" s="3"/>
      <c r="AI10" s="3"/>
      <c r="AJ10" s="3"/>
    </row>
    <row r="11">
      <c r="A11" s="23">
        <v>374.0</v>
      </c>
      <c r="B11" s="5">
        <v>46185.0</v>
      </c>
      <c r="C11" s="6" t="s">
        <v>39</v>
      </c>
      <c r="D11" s="7" t="s">
        <v>40</v>
      </c>
      <c r="E11" s="23">
        <v>720.0</v>
      </c>
      <c r="F11" s="8">
        <f>E11-G11-H11-I11-J11-K11-L11</f>
        <v>683.2</v>
      </c>
      <c r="G11" s="9">
        <v>4.0</v>
      </c>
      <c r="H11" s="9">
        <v>5.5</v>
      </c>
      <c r="I11" s="9">
        <v>24.5</v>
      </c>
      <c r="J11" s="9">
        <v>0.3</v>
      </c>
      <c r="K11" s="10"/>
      <c r="L11" s="9">
        <v>2.5</v>
      </c>
      <c r="M11" s="7">
        <f t="shared" si="11"/>
        <v>0</v>
      </c>
      <c r="N11" s="10"/>
      <c r="O11" s="7">
        <f t="shared" si="1"/>
        <v>0</v>
      </c>
      <c r="P11" s="23"/>
      <c r="Q11" s="7">
        <f t="shared" si="2"/>
        <v>0</v>
      </c>
      <c r="R11" s="4"/>
      <c r="S11" s="7">
        <f t="shared" si="3"/>
        <v>0</v>
      </c>
      <c r="T11" s="10"/>
      <c r="U11" s="7">
        <f t="shared" si="4"/>
        <v>0</v>
      </c>
      <c r="V11" s="10"/>
      <c r="W11" s="7">
        <f t="shared" si="5"/>
        <v>0</v>
      </c>
      <c r="X11" s="10"/>
      <c r="Y11" s="7">
        <f t="shared" si="7"/>
        <v>0</v>
      </c>
      <c r="Z11" s="10"/>
      <c r="AA11" s="7">
        <f t="shared" si="8"/>
        <v>0</v>
      </c>
      <c r="AB11" s="10"/>
      <c r="AC11" s="7">
        <f t="shared" si="10"/>
        <v>0</v>
      </c>
      <c r="AD11" s="10"/>
      <c r="AE11" s="7">
        <f t="shared" si="9"/>
        <v>0</v>
      </c>
      <c r="AF11" s="10"/>
      <c r="AG11" s="3"/>
      <c r="AH11" s="3"/>
      <c r="AI11" s="3"/>
      <c r="AJ11" s="3"/>
    </row>
    <row r="12">
      <c r="A12" s="43">
        <v>376.0</v>
      </c>
      <c r="B12" s="5">
        <v>46188.0</v>
      </c>
      <c r="C12" s="6" t="s">
        <v>41</v>
      </c>
      <c r="D12" s="7" t="s">
        <v>40</v>
      </c>
      <c r="E12" s="23">
        <v>1070.0</v>
      </c>
      <c r="F12" s="8"/>
      <c r="G12" s="23"/>
      <c r="H12" s="23"/>
      <c r="I12" s="23"/>
      <c r="J12" s="23"/>
      <c r="K12" s="23"/>
      <c r="L12" s="9"/>
      <c r="M12" s="7">
        <f t="shared" si="11"/>
        <v>0</v>
      </c>
      <c r="N12" s="10"/>
      <c r="O12" s="7">
        <f t="shared" si="1"/>
        <v>320</v>
      </c>
      <c r="P12" s="12">
        <v>16.0</v>
      </c>
      <c r="Q12" s="7">
        <f t="shared" si="2"/>
        <v>0</v>
      </c>
      <c r="R12" s="4"/>
      <c r="S12" s="7">
        <f t="shared" si="3"/>
        <v>198</v>
      </c>
      <c r="T12" s="9">
        <v>36.0</v>
      </c>
      <c r="U12" s="7">
        <f t="shared" si="4"/>
        <v>33</v>
      </c>
      <c r="V12" s="9">
        <v>22.0</v>
      </c>
      <c r="W12" s="7">
        <f t="shared" si="5"/>
        <v>0</v>
      </c>
      <c r="X12" s="9"/>
      <c r="Y12" s="7">
        <f t="shared" si="7"/>
        <v>0</v>
      </c>
      <c r="Z12" s="10"/>
      <c r="AA12" s="7">
        <f t="shared" si="8"/>
        <v>0</v>
      </c>
      <c r="AB12" s="10"/>
      <c r="AC12" s="7">
        <f t="shared" si="10"/>
        <v>0</v>
      </c>
      <c r="AD12" s="10"/>
      <c r="AE12" s="7">
        <f t="shared" si="9"/>
        <v>0</v>
      </c>
      <c r="AF12" s="10"/>
      <c r="AG12" s="3"/>
      <c r="AH12" s="3"/>
      <c r="AI12" s="3"/>
      <c r="AJ12" s="3"/>
    </row>
    <row r="13" ht="16.5" customHeight="1">
      <c r="A13" s="23">
        <v>378.0</v>
      </c>
      <c r="B13" s="50">
        <v>46189.0</v>
      </c>
      <c r="C13" s="6" t="s">
        <v>39</v>
      </c>
      <c r="D13" s="7" t="s">
        <v>40</v>
      </c>
      <c r="E13" s="23">
        <v>920.0</v>
      </c>
      <c r="F13" s="8">
        <f>E13-G13-H13-I13-J13-K13-L13</f>
        <v>844.9</v>
      </c>
      <c r="G13" s="26">
        <v>9.0</v>
      </c>
      <c r="H13" s="12">
        <v>2.5</v>
      </c>
      <c r="I13" s="12">
        <v>58.0</v>
      </c>
      <c r="J13" s="9">
        <v>0.1</v>
      </c>
      <c r="K13" s="10"/>
      <c r="L13" s="9">
        <v>5.5</v>
      </c>
      <c r="M13" s="7">
        <f t="shared" si="11"/>
        <v>0</v>
      </c>
      <c r="N13" s="10"/>
      <c r="O13" s="7">
        <f t="shared" si="1"/>
        <v>0</v>
      </c>
      <c r="P13" s="23"/>
      <c r="Q13" s="7">
        <f t="shared" si="2"/>
        <v>0</v>
      </c>
      <c r="R13" s="4"/>
      <c r="S13" s="7">
        <f t="shared" si="3"/>
        <v>0</v>
      </c>
      <c r="T13" s="23"/>
      <c r="U13" s="7">
        <f t="shared" si="4"/>
        <v>0</v>
      </c>
      <c r="V13" s="23"/>
      <c r="W13" s="7">
        <f t="shared" si="5"/>
        <v>0</v>
      </c>
      <c r="X13" s="23"/>
      <c r="Y13" s="7">
        <f t="shared" si="7"/>
        <v>0</v>
      </c>
      <c r="Z13" s="10"/>
      <c r="AA13" s="7">
        <f t="shared" si="8"/>
        <v>0</v>
      </c>
      <c r="AB13" s="10"/>
      <c r="AC13" s="7">
        <f t="shared" si="10"/>
        <v>0</v>
      </c>
      <c r="AD13" s="10"/>
      <c r="AE13" s="7">
        <f t="shared" si="9"/>
        <v>0</v>
      </c>
      <c r="AF13" s="9"/>
      <c r="AG13" s="3"/>
      <c r="AH13" s="3"/>
      <c r="AI13" s="3"/>
      <c r="AJ13" s="3"/>
    </row>
    <row r="14">
      <c r="A14" s="43">
        <v>380.0</v>
      </c>
      <c r="B14" s="5">
        <v>46190.0</v>
      </c>
      <c r="C14" s="6" t="s">
        <v>41</v>
      </c>
      <c r="D14" s="7" t="s">
        <v>40</v>
      </c>
      <c r="E14" s="23">
        <v>1100.0</v>
      </c>
      <c r="F14" s="8"/>
      <c r="G14" s="23"/>
      <c r="H14" s="23">
        <v>30.0</v>
      </c>
      <c r="I14" s="23"/>
      <c r="J14" s="9">
        <v>3.0</v>
      </c>
      <c r="K14" s="10"/>
      <c r="L14" s="9"/>
      <c r="M14" s="7">
        <f t="shared" si="11"/>
        <v>0</v>
      </c>
      <c r="N14" s="10"/>
      <c r="O14" s="7">
        <f t="shared" si="1"/>
        <v>340</v>
      </c>
      <c r="P14" s="12">
        <v>17.0</v>
      </c>
      <c r="Q14" s="7">
        <f t="shared" si="2"/>
        <v>700</v>
      </c>
      <c r="R14" s="4">
        <v>35.0</v>
      </c>
      <c r="S14" s="7">
        <f t="shared" si="3"/>
        <v>0</v>
      </c>
      <c r="T14" s="12"/>
      <c r="U14" s="7">
        <f t="shared" si="4"/>
        <v>0</v>
      </c>
      <c r="V14" s="10"/>
      <c r="W14" s="7">
        <f t="shared" si="5"/>
        <v>0</v>
      </c>
      <c r="X14" s="12"/>
      <c r="Y14" s="7">
        <f t="shared" si="7"/>
        <v>0</v>
      </c>
      <c r="Z14" s="10"/>
      <c r="AA14" s="7">
        <f t="shared" si="8"/>
        <v>0</v>
      </c>
      <c r="AB14" s="10"/>
      <c r="AC14" s="7">
        <f t="shared" si="10"/>
        <v>0</v>
      </c>
      <c r="AD14" s="10"/>
      <c r="AE14" s="7">
        <f t="shared" si="9"/>
        <v>0</v>
      </c>
      <c r="AF14" s="10"/>
      <c r="AG14" s="3"/>
      <c r="AH14" s="3"/>
      <c r="AI14" s="3"/>
      <c r="AJ14" s="3"/>
    </row>
    <row r="15">
      <c r="A15" s="23">
        <v>382.0</v>
      </c>
      <c r="B15" s="50">
        <v>46191.0</v>
      </c>
      <c r="C15" s="44" t="s">
        <v>41</v>
      </c>
      <c r="D15" s="7" t="s">
        <v>40</v>
      </c>
      <c r="E15" s="23">
        <v>970.0</v>
      </c>
      <c r="F15" s="8"/>
      <c r="G15" s="12"/>
      <c r="H15" s="12"/>
      <c r="I15" s="12"/>
      <c r="J15" s="12"/>
      <c r="K15" s="12"/>
      <c r="L15" s="10"/>
      <c r="M15" s="7">
        <f t="shared" si="11"/>
        <v>0</v>
      </c>
      <c r="N15" s="10"/>
      <c r="O15" s="7">
        <f t="shared" si="1"/>
        <v>960</v>
      </c>
      <c r="P15" s="4">
        <v>48.0</v>
      </c>
      <c r="Q15" s="7">
        <f t="shared" si="2"/>
        <v>0</v>
      </c>
      <c r="R15" s="4"/>
      <c r="S15" s="7">
        <f t="shared" si="3"/>
        <v>0</v>
      </c>
      <c r="T15" s="7"/>
      <c r="U15" s="7">
        <f t="shared" si="4"/>
        <v>0</v>
      </c>
      <c r="V15" s="7"/>
      <c r="W15" s="7">
        <f t="shared" si="5"/>
        <v>0</v>
      </c>
      <c r="X15" s="10"/>
      <c r="Y15" s="7">
        <f t="shared" si="7"/>
        <v>0</v>
      </c>
      <c r="Z15" s="10"/>
      <c r="AA15" s="7">
        <f t="shared" si="8"/>
        <v>0</v>
      </c>
      <c r="AB15" s="10"/>
      <c r="AC15" s="7">
        <f t="shared" si="10"/>
        <v>0</v>
      </c>
      <c r="AD15" s="10"/>
      <c r="AE15" s="7">
        <f t="shared" si="9"/>
        <v>0</v>
      </c>
      <c r="AF15" s="10"/>
      <c r="AG15" s="3"/>
      <c r="AH15" s="3"/>
      <c r="AI15" s="3"/>
      <c r="AJ15" s="3"/>
    </row>
    <row r="16" ht="15.75" customHeight="1">
      <c r="A16" s="55">
        <v>384.0</v>
      </c>
      <c r="B16" s="5">
        <v>46192.0</v>
      </c>
      <c r="C16" s="6" t="s">
        <v>39</v>
      </c>
      <c r="D16" s="7" t="s">
        <v>40</v>
      </c>
      <c r="E16" s="23">
        <v>930.0</v>
      </c>
      <c r="F16" s="8">
        <f>E16-G16-H16-I16-J16-K16-L16</f>
        <v>916</v>
      </c>
      <c r="G16" s="9">
        <v>4.5</v>
      </c>
      <c r="H16" s="9">
        <v>1.5</v>
      </c>
      <c r="I16" s="9">
        <v>6.5</v>
      </c>
      <c r="J16" s="9">
        <v>0.5</v>
      </c>
      <c r="K16" s="10"/>
      <c r="L16" s="9">
        <v>1.0</v>
      </c>
      <c r="M16" s="7">
        <f t="shared" si="11"/>
        <v>0</v>
      </c>
      <c r="N16" s="10"/>
      <c r="O16" s="7">
        <f t="shared" si="1"/>
        <v>0</v>
      </c>
      <c r="P16" s="12"/>
      <c r="Q16" s="7">
        <f t="shared" si="2"/>
        <v>0</v>
      </c>
      <c r="R16" s="4"/>
      <c r="S16" s="7">
        <f t="shared" si="3"/>
        <v>0</v>
      </c>
      <c r="T16" s="10"/>
      <c r="U16" s="7">
        <f t="shared" si="4"/>
        <v>0</v>
      </c>
      <c r="V16" s="9"/>
      <c r="W16" s="7">
        <f t="shared" si="5"/>
        <v>0</v>
      </c>
      <c r="X16" s="10"/>
      <c r="Y16" s="7">
        <f t="shared" si="7"/>
        <v>0</v>
      </c>
      <c r="Z16" s="10"/>
      <c r="AA16" s="7">
        <f t="shared" si="8"/>
        <v>0</v>
      </c>
      <c r="AB16" s="10"/>
      <c r="AC16" s="7">
        <f t="shared" si="10"/>
        <v>0</v>
      </c>
      <c r="AD16" s="10"/>
      <c r="AE16" s="7">
        <f t="shared" si="9"/>
        <v>0</v>
      </c>
      <c r="AF16" s="10"/>
      <c r="AG16" s="3"/>
      <c r="AH16" s="3"/>
      <c r="AI16" s="3"/>
      <c r="AJ16" s="3"/>
    </row>
    <row r="17">
      <c r="A17" s="23">
        <v>386.0</v>
      </c>
      <c r="B17" s="5">
        <v>46195.0</v>
      </c>
      <c r="C17" s="6" t="s">
        <v>41</v>
      </c>
      <c r="D17" s="7" t="s">
        <v>40</v>
      </c>
      <c r="E17" s="23">
        <v>1110.0</v>
      </c>
      <c r="F17" s="8"/>
      <c r="G17" s="12"/>
      <c r="H17" s="12"/>
      <c r="I17" s="12"/>
      <c r="J17" s="12"/>
      <c r="K17" s="12"/>
      <c r="L17" s="12"/>
      <c r="M17" s="7">
        <f t="shared" si="11"/>
        <v>0</v>
      </c>
      <c r="N17" s="10"/>
      <c r="O17" s="7">
        <f t="shared" si="1"/>
        <v>360</v>
      </c>
      <c r="P17" s="23">
        <v>18.0</v>
      </c>
      <c r="Q17" s="7">
        <f t="shared" si="2"/>
        <v>0</v>
      </c>
      <c r="R17" s="4"/>
      <c r="S17" s="7">
        <f t="shared" si="3"/>
        <v>242</v>
      </c>
      <c r="T17" s="9">
        <v>44.0</v>
      </c>
      <c r="U17" s="7">
        <f t="shared" si="4"/>
        <v>18</v>
      </c>
      <c r="V17" s="23">
        <v>12.0</v>
      </c>
      <c r="W17" s="7">
        <f t="shared" si="5"/>
        <v>192</v>
      </c>
      <c r="X17" s="23">
        <v>192.0</v>
      </c>
      <c r="Y17" s="7"/>
      <c r="Z17" s="10"/>
      <c r="AA17" s="7">
        <f t="shared" si="8"/>
        <v>0</v>
      </c>
      <c r="AB17" s="10"/>
      <c r="AC17" s="7">
        <f t="shared" si="10"/>
        <v>0</v>
      </c>
      <c r="AD17" s="10"/>
      <c r="AE17" s="7">
        <f t="shared" si="9"/>
        <v>0</v>
      </c>
      <c r="AF17" s="10"/>
      <c r="AG17" s="3"/>
      <c r="AH17" s="3"/>
      <c r="AI17" s="3"/>
      <c r="AJ17" s="3"/>
    </row>
    <row r="18">
      <c r="A18" s="23">
        <v>388.0</v>
      </c>
      <c r="B18" s="5">
        <v>46196.0</v>
      </c>
      <c r="C18" s="6" t="s">
        <v>39</v>
      </c>
      <c r="D18" s="7" t="s">
        <v>40</v>
      </c>
      <c r="E18" s="23">
        <v>910.0</v>
      </c>
      <c r="F18" s="8">
        <f>E18-(I18+L18)</f>
        <v>904.5</v>
      </c>
      <c r="G18" s="12"/>
      <c r="H18" s="12"/>
      <c r="I18" s="12">
        <v>4.0</v>
      </c>
      <c r="J18" s="12"/>
      <c r="K18" s="12"/>
      <c r="L18" s="12">
        <v>1.5</v>
      </c>
      <c r="M18" s="7">
        <f t="shared" si="11"/>
        <v>0</v>
      </c>
      <c r="N18" s="10"/>
      <c r="O18" s="7">
        <f t="shared" si="1"/>
        <v>0</v>
      </c>
      <c r="P18" s="23"/>
      <c r="Q18" s="7">
        <f t="shared" si="2"/>
        <v>0</v>
      </c>
      <c r="R18" s="4"/>
      <c r="S18" s="7">
        <f t="shared" si="3"/>
        <v>0</v>
      </c>
      <c r="T18" s="23"/>
      <c r="U18" s="7">
        <f t="shared" si="4"/>
        <v>0</v>
      </c>
      <c r="V18" s="4"/>
      <c r="W18" s="7">
        <f t="shared" si="5"/>
        <v>0</v>
      </c>
      <c r="X18" s="4"/>
      <c r="Y18" s="7">
        <f t="shared" ref="Y18:Y24" si="12">Z18*1.4</f>
        <v>0</v>
      </c>
      <c r="Z18" s="9"/>
      <c r="AA18" s="7">
        <f t="shared" si="8"/>
        <v>0</v>
      </c>
      <c r="AB18" s="10"/>
      <c r="AC18" s="7">
        <f t="shared" si="10"/>
        <v>0</v>
      </c>
      <c r="AD18" s="10"/>
      <c r="AE18" s="7">
        <f t="shared" si="9"/>
        <v>0</v>
      </c>
      <c r="AF18" s="10"/>
      <c r="AG18" s="42" t="s">
        <v>73</v>
      </c>
      <c r="AH18" s="3"/>
      <c r="AI18" s="3"/>
      <c r="AJ18" s="3"/>
    </row>
    <row r="19">
      <c r="A19" s="43">
        <v>390.0</v>
      </c>
      <c r="B19" s="5">
        <v>46197.0</v>
      </c>
      <c r="C19" s="6" t="s">
        <v>41</v>
      </c>
      <c r="D19" s="7" t="s">
        <v>40</v>
      </c>
      <c r="E19" s="23">
        <v>1100.0</v>
      </c>
      <c r="F19" s="8"/>
      <c r="G19" s="9"/>
      <c r="H19" s="9"/>
      <c r="I19" s="9"/>
      <c r="J19" s="9"/>
      <c r="K19" s="10"/>
      <c r="L19" s="9"/>
      <c r="M19" s="7">
        <f t="shared" si="11"/>
        <v>0</v>
      </c>
      <c r="N19" s="10"/>
      <c r="O19" s="7">
        <f t="shared" si="1"/>
        <v>600</v>
      </c>
      <c r="P19" s="12">
        <v>30.0</v>
      </c>
      <c r="Q19" s="7">
        <f t="shared" si="2"/>
        <v>400</v>
      </c>
      <c r="R19" s="4">
        <v>20.0</v>
      </c>
      <c r="S19" s="7">
        <f t="shared" si="3"/>
        <v>0</v>
      </c>
      <c r="T19" s="12"/>
      <c r="U19" s="7">
        <f t="shared" si="4"/>
        <v>0</v>
      </c>
      <c r="V19" s="10"/>
      <c r="W19" s="7">
        <f t="shared" si="5"/>
        <v>0</v>
      </c>
      <c r="X19" s="12"/>
      <c r="Y19" s="7">
        <f t="shared" si="12"/>
        <v>0</v>
      </c>
      <c r="Z19" s="10"/>
      <c r="AA19" s="7">
        <f t="shared" si="8"/>
        <v>0</v>
      </c>
      <c r="AB19" s="10"/>
      <c r="AC19" s="7">
        <f t="shared" si="10"/>
        <v>0</v>
      </c>
      <c r="AD19" s="10"/>
      <c r="AE19" s="7">
        <f t="shared" si="9"/>
        <v>0</v>
      </c>
      <c r="AF19" s="10"/>
      <c r="AG19" s="3"/>
      <c r="AH19" s="3"/>
      <c r="AI19" s="3"/>
      <c r="AJ19" s="3"/>
    </row>
    <row r="20">
      <c r="A20" s="23">
        <v>391.0</v>
      </c>
      <c r="B20" s="5">
        <v>46198.0</v>
      </c>
      <c r="C20" s="6" t="s">
        <v>41</v>
      </c>
      <c r="D20" s="7" t="s">
        <v>40</v>
      </c>
      <c r="E20" s="23">
        <v>1200.0</v>
      </c>
      <c r="F20" s="8"/>
      <c r="G20" s="23"/>
      <c r="H20" s="23"/>
      <c r="I20" s="23"/>
      <c r="J20" s="23"/>
      <c r="K20" s="28"/>
      <c r="L20" s="23"/>
      <c r="M20" s="7">
        <f t="shared" si="11"/>
        <v>0</v>
      </c>
      <c r="N20" s="9"/>
      <c r="O20" s="7">
        <f t="shared" si="1"/>
        <v>800</v>
      </c>
      <c r="P20" s="12">
        <v>40.0</v>
      </c>
      <c r="Q20" s="7">
        <f t="shared" si="2"/>
        <v>400</v>
      </c>
      <c r="R20" s="4">
        <v>20.0</v>
      </c>
      <c r="S20" s="7">
        <f t="shared" si="3"/>
        <v>0</v>
      </c>
      <c r="T20" s="10"/>
      <c r="U20" s="7">
        <f t="shared" si="4"/>
        <v>0</v>
      </c>
      <c r="V20" s="10"/>
      <c r="W20" s="7">
        <f t="shared" si="5"/>
        <v>0</v>
      </c>
      <c r="X20" s="10"/>
      <c r="Y20" s="7">
        <f t="shared" si="12"/>
        <v>0</v>
      </c>
      <c r="Z20" s="10"/>
      <c r="AA20" s="7">
        <f t="shared" si="8"/>
        <v>0</v>
      </c>
      <c r="AB20" s="10"/>
      <c r="AC20" s="7">
        <f t="shared" si="10"/>
        <v>0</v>
      </c>
      <c r="AD20" s="10"/>
      <c r="AE20" s="7">
        <f t="shared" si="9"/>
        <v>0</v>
      </c>
      <c r="AF20" s="10"/>
      <c r="AG20" s="3"/>
      <c r="AH20" s="3"/>
      <c r="AI20" s="3"/>
      <c r="AJ20" s="3"/>
    </row>
    <row r="21">
      <c r="A21" s="12">
        <v>393.0</v>
      </c>
      <c r="B21" s="5">
        <v>46199.0</v>
      </c>
      <c r="C21" s="12" t="s">
        <v>39</v>
      </c>
      <c r="D21" s="7" t="s">
        <v>40</v>
      </c>
      <c r="E21" s="56">
        <v>480.0</v>
      </c>
      <c r="F21" s="57">
        <f t="shared" ref="F21:F22" si="13">E21-G21-H21-I21-J21-K21-L21</f>
        <v>470.5</v>
      </c>
      <c r="G21" s="12"/>
      <c r="H21" s="12">
        <v>9.5</v>
      </c>
      <c r="I21" s="12"/>
      <c r="J21" s="12"/>
      <c r="K21" s="12"/>
      <c r="L21" s="12"/>
      <c r="M21" s="10"/>
      <c r="N21" s="10"/>
      <c r="O21" s="7">
        <f t="shared" si="1"/>
        <v>0</v>
      </c>
      <c r="P21" s="9"/>
      <c r="Q21" s="7">
        <f t="shared" si="2"/>
        <v>0</v>
      </c>
      <c r="R21" s="4"/>
      <c r="S21" s="7">
        <f t="shared" si="3"/>
        <v>0</v>
      </c>
      <c r="T21" s="10"/>
      <c r="U21" s="7">
        <f t="shared" si="4"/>
        <v>0</v>
      </c>
      <c r="V21" s="9"/>
      <c r="W21" s="7">
        <f t="shared" si="5"/>
        <v>0</v>
      </c>
      <c r="X21" s="9"/>
      <c r="Y21" s="7">
        <f t="shared" si="12"/>
        <v>0</v>
      </c>
      <c r="Z21" s="10"/>
      <c r="AA21" s="7">
        <f t="shared" si="8"/>
        <v>0</v>
      </c>
      <c r="AB21" s="10"/>
      <c r="AC21" s="7">
        <f t="shared" si="10"/>
        <v>0</v>
      </c>
      <c r="AD21" s="10"/>
      <c r="AE21" s="7">
        <f t="shared" si="9"/>
        <v>0</v>
      </c>
      <c r="AF21" s="10"/>
      <c r="AG21" s="3"/>
      <c r="AH21" s="3"/>
      <c r="AI21" s="3"/>
      <c r="AJ21" s="3"/>
    </row>
    <row r="22">
      <c r="A22" s="9">
        <v>395.0</v>
      </c>
      <c r="B22" s="5">
        <v>46203.0</v>
      </c>
      <c r="C22" s="9" t="s">
        <v>39</v>
      </c>
      <c r="D22" s="7" t="s">
        <v>40</v>
      </c>
      <c r="E22" s="54">
        <v>730.0</v>
      </c>
      <c r="F22" s="57">
        <f t="shared" si="13"/>
        <v>701</v>
      </c>
      <c r="G22" s="9">
        <v>2.5</v>
      </c>
      <c r="H22" s="9">
        <v>7.0</v>
      </c>
      <c r="I22" s="9">
        <v>17.0</v>
      </c>
      <c r="J22" s="9"/>
      <c r="K22" s="10"/>
      <c r="L22" s="9">
        <v>2.5</v>
      </c>
      <c r="M22" s="10"/>
      <c r="N22" s="10"/>
      <c r="O22" s="7">
        <f t="shared" si="1"/>
        <v>0</v>
      </c>
      <c r="P22" s="10"/>
      <c r="Q22" s="7">
        <f t="shared" si="2"/>
        <v>0</v>
      </c>
      <c r="R22" s="7"/>
      <c r="S22" s="7">
        <f t="shared" si="3"/>
        <v>0</v>
      </c>
      <c r="T22" s="10"/>
      <c r="U22" s="7">
        <f t="shared" si="4"/>
        <v>0</v>
      </c>
      <c r="V22" s="10"/>
      <c r="W22" s="7">
        <f t="shared" si="5"/>
        <v>0</v>
      </c>
      <c r="X22" s="10"/>
      <c r="Y22" s="7">
        <f t="shared" si="12"/>
        <v>0</v>
      </c>
      <c r="Z22" s="10"/>
      <c r="AA22" s="7">
        <f t="shared" si="8"/>
        <v>0</v>
      </c>
      <c r="AB22" s="10"/>
      <c r="AC22" s="7">
        <f t="shared" si="10"/>
        <v>0</v>
      </c>
      <c r="AD22" s="10"/>
      <c r="AE22" s="7">
        <f t="shared" si="9"/>
        <v>0</v>
      </c>
      <c r="AF22" s="10"/>
      <c r="AI22" s="3"/>
      <c r="AJ22" s="3"/>
    </row>
    <row r="23">
      <c r="A23" s="9"/>
      <c r="B23" s="5"/>
      <c r="C23" s="9"/>
      <c r="D23" s="7"/>
      <c r="E23" s="54"/>
      <c r="F23" s="8"/>
      <c r="G23" s="9"/>
      <c r="H23" s="9"/>
      <c r="I23" s="9"/>
      <c r="J23" s="9"/>
      <c r="K23" s="10"/>
      <c r="L23" s="10"/>
      <c r="M23" s="10"/>
      <c r="N23" s="10"/>
      <c r="O23" s="7">
        <f t="shared" si="1"/>
        <v>0</v>
      </c>
      <c r="P23" s="10"/>
      <c r="Q23" s="7">
        <f t="shared" si="2"/>
        <v>0</v>
      </c>
      <c r="R23" s="7"/>
      <c r="S23" s="7">
        <f t="shared" si="3"/>
        <v>0</v>
      </c>
      <c r="T23" s="10"/>
      <c r="U23" s="7">
        <f t="shared" si="4"/>
        <v>0</v>
      </c>
      <c r="V23" s="10"/>
      <c r="W23" s="7">
        <f t="shared" si="5"/>
        <v>0</v>
      </c>
      <c r="X23" s="10"/>
      <c r="Y23" s="7">
        <f t="shared" si="12"/>
        <v>0</v>
      </c>
      <c r="Z23" s="10"/>
      <c r="AA23" s="7">
        <f t="shared" si="8"/>
        <v>0</v>
      </c>
      <c r="AB23" s="10"/>
      <c r="AC23" s="7">
        <f t="shared" si="10"/>
        <v>0</v>
      </c>
      <c r="AD23" s="10"/>
      <c r="AE23" s="7">
        <f t="shared" si="9"/>
        <v>0</v>
      </c>
      <c r="AF23" s="10"/>
      <c r="AI23" s="3"/>
      <c r="AJ23" s="3"/>
    </row>
    <row r="24">
      <c r="A24" s="9"/>
      <c r="C24" s="9"/>
      <c r="D24" s="7"/>
      <c r="E24" s="54"/>
      <c r="F24" s="8"/>
      <c r="G24" s="9"/>
      <c r="H24" s="9"/>
      <c r="I24" s="9"/>
      <c r="J24" s="9"/>
      <c r="K24" s="10"/>
      <c r="L24" s="10"/>
      <c r="M24" s="10"/>
      <c r="N24" s="10"/>
      <c r="O24" s="7">
        <f t="shared" si="1"/>
        <v>0</v>
      </c>
      <c r="P24" s="10"/>
      <c r="Q24" s="7">
        <f t="shared" si="2"/>
        <v>0</v>
      </c>
      <c r="R24" s="7"/>
      <c r="S24" s="7">
        <f t="shared" si="3"/>
        <v>0</v>
      </c>
      <c r="T24" s="10"/>
      <c r="U24" s="7">
        <f t="shared" si="4"/>
        <v>0</v>
      </c>
      <c r="V24" s="10"/>
      <c r="W24" s="7">
        <f t="shared" si="5"/>
        <v>0</v>
      </c>
      <c r="X24" s="10"/>
      <c r="Y24" s="7">
        <f t="shared" si="12"/>
        <v>0</v>
      </c>
      <c r="Z24" s="10"/>
      <c r="AA24" s="7">
        <f t="shared" si="8"/>
        <v>0</v>
      </c>
      <c r="AB24" s="10"/>
      <c r="AC24" s="7">
        <f t="shared" si="10"/>
        <v>0</v>
      </c>
      <c r="AD24" s="10"/>
      <c r="AE24" s="7">
        <f t="shared" si="9"/>
        <v>0</v>
      </c>
      <c r="AF24" s="10"/>
      <c r="AI24" s="3"/>
      <c r="AJ24" s="3"/>
    </row>
    <row r="25">
      <c r="A25" s="32" t="s">
        <v>55</v>
      </c>
      <c r="B25" s="33"/>
      <c r="C25" s="33"/>
      <c r="D25" s="34"/>
      <c r="E25" s="35">
        <f>SUM(F25:AE25)</f>
        <v>16493</v>
      </c>
      <c r="F25" s="35">
        <f t="shared" ref="F25:AF25" si="14">SUM(F3:F22)</f>
        <v>5825.8</v>
      </c>
      <c r="G25" s="35">
        <f t="shared" si="14"/>
        <v>49</v>
      </c>
      <c r="H25" s="35">
        <f t="shared" si="14"/>
        <v>63</v>
      </c>
      <c r="I25" s="35">
        <f t="shared" si="14"/>
        <v>164</v>
      </c>
      <c r="J25" s="35">
        <f t="shared" si="14"/>
        <v>4.7</v>
      </c>
      <c r="K25" s="35">
        <f t="shared" si="14"/>
        <v>0</v>
      </c>
      <c r="L25" s="35">
        <f t="shared" si="14"/>
        <v>16.5</v>
      </c>
      <c r="M25" s="35">
        <f t="shared" si="14"/>
        <v>0</v>
      </c>
      <c r="N25" s="35">
        <f t="shared" si="14"/>
        <v>0</v>
      </c>
      <c r="O25" s="35">
        <f t="shared" si="14"/>
        <v>6120</v>
      </c>
      <c r="P25" s="35">
        <f t="shared" si="14"/>
        <v>306</v>
      </c>
      <c r="Q25" s="35">
        <f t="shared" si="14"/>
        <v>2360</v>
      </c>
      <c r="R25" s="35">
        <f t="shared" si="14"/>
        <v>118</v>
      </c>
      <c r="S25" s="35">
        <f t="shared" si="14"/>
        <v>440</v>
      </c>
      <c r="T25" s="35">
        <f t="shared" si="14"/>
        <v>80</v>
      </c>
      <c r="U25" s="35">
        <f t="shared" si="14"/>
        <v>78</v>
      </c>
      <c r="V25" s="35">
        <f t="shared" si="14"/>
        <v>52</v>
      </c>
      <c r="W25" s="35">
        <f t="shared" si="14"/>
        <v>408</v>
      </c>
      <c r="X25" s="35">
        <f t="shared" si="14"/>
        <v>408</v>
      </c>
      <c r="Y25" s="35">
        <f t="shared" si="14"/>
        <v>0</v>
      </c>
      <c r="Z25" s="35">
        <f t="shared" si="14"/>
        <v>0</v>
      </c>
      <c r="AA25" s="35">
        <f t="shared" si="14"/>
        <v>0</v>
      </c>
      <c r="AB25" s="35">
        <f t="shared" si="14"/>
        <v>0</v>
      </c>
      <c r="AC25" s="35">
        <f t="shared" si="14"/>
        <v>0</v>
      </c>
      <c r="AD25" s="35">
        <f t="shared" si="14"/>
        <v>0</v>
      </c>
      <c r="AE25" s="35">
        <f t="shared" si="14"/>
        <v>0</v>
      </c>
      <c r="AF25" s="35">
        <f t="shared" si="14"/>
        <v>0</v>
      </c>
      <c r="AG25" s="3"/>
      <c r="AH25" s="3"/>
      <c r="AI25" s="3"/>
      <c r="A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>
      <c r="A27" s="3"/>
      <c r="B27" s="13" t="s">
        <v>56</v>
      </c>
      <c r="C27" s="3"/>
      <c r="D27" s="3"/>
      <c r="E27" s="3"/>
      <c r="F27" s="3"/>
      <c r="G27" s="13" t="s">
        <v>57</v>
      </c>
      <c r="H27" s="38">
        <f>H25+I25+M25+U25+W25+AE25+L25</f>
        <v>729.5</v>
      </c>
      <c r="I27" s="3"/>
      <c r="J27" s="13" t="s">
        <v>58</v>
      </c>
      <c r="K27" s="13"/>
      <c r="L27" s="38">
        <f>SUM(F25+G25)</f>
        <v>5874.8</v>
      </c>
      <c r="M27" s="3"/>
      <c r="N27" s="13" t="s">
        <v>59</v>
      </c>
      <c r="O27" s="38">
        <f>J25+AC25</f>
        <v>4.7</v>
      </c>
      <c r="P27" s="3"/>
      <c r="Q27" s="3"/>
      <c r="R27" s="3"/>
      <c r="S27" s="3"/>
      <c r="T27" s="3"/>
      <c r="U27" s="3"/>
      <c r="V27" s="3"/>
      <c r="W27" s="3"/>
      <c r="X27" s="3"/>
      <c r="Y27" s="41">
        <f t="shared" ref="Y27:Z27" si="15">SUM(Y25,AA25,AC25,AE25)</f>
        <v>0</v>
      </c>
      <c r="Z27" s="38">
        <f t="shared" si="15"/>
        <v>0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>
      <c r="A28" s="2" t="s">
        <v>16</v>
      </c>
      <c r="B28" s="2" t="s">
        <v>1</v>
      </c>
      <c r="C28" s="2" t="s">
        <v>61</v>
      </c>
      <c r="D28" s="2" t="s">
        <v>62</v>
      </c>
      <c r="E28" s="2" t="s">
        <v>63</v>
      </c>
      <c r="F28" s="3"/>
      <c r="G28" s="13" t="s">
        <v>64</v>
      </c>
      <c r="H28" s="13" t="s">
        <v>65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>
      <c r="A29" s="10"/>
      <c r="B29" s="31"/>
      <c r="C29" s="24" t="s">
        <v>66</v>
      </c>
      <c r="D29" s="10"/>
      <c r="E29" s="10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13" t="s">
        <v>67</v>
      </c>
      <c r="X29" s="38">
        <f>X25+V25</f>
        <v>460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10"/>
      <c r="B30" s="31"/>
      <c r="C30" s="24" t="s">
        <v>66</v>
      </c>
      <c r="D30" s="10"/>
      <c r="E30" s="10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13" t="s">
        <v>68</v>
      </c>
      <c r="X30" s="38">
        <f>W25+U25</f>
        <v>486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10"/>
      <c r="B31" s="31"/>
      <c r="C31" s="24" t="s">
        <v>66</v>
      </c>
      <c r="D31" s="10"/>
      <c r="E31" s="10"/>
      <c r="F31" s="3"/>
      <c r="G31" s="42">
        <f>SUM(F19:L19)</f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10"/>
      <c r="B32" s="31"/>
      <c r="C32" s="24" t="s">
        <v>66</v>
      </c>
      <c r="D32" s="10"/>
      <c r="E32" s="10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10"/>
      <c r="B33" s="31"/>
      <c r="C33" s="10"/>
      <c r="D33" s="7">
        <f>E33*20</f>
        <v>0</v>
      </c>
      <c r="E33" s="1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10"/>
      <c r="B34" s="31"/>
      <c r="C34" s="10"/>
      <c r="D34" s="10"/>
      <c r="E34" s="1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>
      <c r="A35" s="10"/>
      <c r="B35" s="31"/>
      <c r="C35" s="10"/>
      <c r="D35" s="10"/>
      <c r="E35" s="1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>
      <c r="A36" s="10"/>
      <c r="B36" s="31"/>
      <c r="C36" s="10"/>
      <c r="D36" s="10"/>
      <c r="E36" s="1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>
      <c r="A37" s="10"/>
      <c r="B37" s="31"/>
      <c r="C37" s="10"/>
      <c r="D37" s="10"/>
      <c r="E37" s="1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10"/>
      <c r="B38" s="31"/>
      <c r="C38" s="10"/>
      <c r="D38" s="10"/>
      <c r="E38" s="1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10"/>
      <c r="B39" s="31"/>
      <c r="C39" s="10"/>
      <c r="D39" s="10"/>
      <c r="E39" s="10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10"/>
      <c r="B40" s="31"/>
      <c r="C40" s="10"/>
      <c r="D40" s="10"/>
      <c r="E40" s="10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>
      <c r="A41" s="10"/>
      <c r="B41" s="31"/>
      <c r="C41" s="10"/>
      <c r="D41" s="10"/>
      <c r="E41" s="10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10"/>
      <c r="B42" s="31"/>
      <c r="C42" s="10"/>
      <c r="D42" s="10"/>
      <c r="E42" s="1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</row>
  </sheetData>
  <mergeCells count="1">
    <mergeCell ref="A25:D25"/>
  </mergeCells>
  <dataValidations>
    <dataValidation type="list" allowBlank="1" showErrorMessage="1" sqref="C29:C42">
      <formula1>"Palet,Carrete de Madera,Carrete Plástico,Tambores 120 lts"</formula1>
    </dataValidation>
    <dataValidation type="list" allowBlank="1" showErrorMessage="1" sqref="C2:C24">
      <formula1>"AREAS PRODUCTIVAS,bod, Apd, Ácido,puntos verdes y HSEC"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30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 t="s">
        <v>32</v>
      </c>
      <c r="R1" s="1" t="s">
        <v>33</v>
      </c>
      <c r="S1" s="2" t="s">
        <v>15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3"/>
      <c r="AH1" s="3"/>
      <c r="AI1" s="3"/>
      <c r="AJ1" s="3"/>
    </row>
    <row r="2">
      <c r="A2" s="4">
        <v>356.0</v>
      </c>
      <c r="B2" s="5">
        <v>46204.0</v>
      </c>
      <c r="C2" s="6" t="s">
        <v>41</v>
      </c>
      <c r="D2" s="7" t="s">
        <v>40</v>
      </c>
      <c r="E2" s="4">
        <v>1010.0</v>
      </c>
      <c r="F2" s="8"/>
      <c r="G2" s="9"/>
      <c r="H2" s="9"/>
      <c r="I2" s="9"/>
      <c r="J2" s="9"/>
      <c r="K2" s="9"/>
      <c r="L2" s="10"/>
      <c r="M2" s="7"/>
      <c r="N2" s="10"/>
      <c r="O2" s="7">
        <f t="shared" ref="O2:O24" si="1">P2*20</f>
        <v>500</v>
      </c>
      <c r="P2" s="4">
        <v>25.0</v>
      </c>
      <c r="Q2" s="7">
        <f t="shared" ref="Q2:Q24" si="2">(R2*20)</f>
        <v>0</v>
      </c>
      <c r="R2" s="4"/>
      <c r="S2" s="7">
        <f t="shared" ref="S2:S24" si="3">T2*5.5</f>
        <v>242</v>
      </c>
      <c r="T2" s="4">
        <v>44.0</v>
      </c>
      <c r="U2" s="7">
        <f t="shared" ref="U2:U24" si="4">V2*1.5</f>
        <v>21</v>
      </c>
      <c r="V2" s="9">
        <v>14.0</v>
      </c>
      <c r="W2" s="7">
        <f t="shared" ref="W2:W24" si="5">X2*1</f>
        <v>231</v>
      </c>
      <c r="X2" s="4">
        <v>231.0</v>
      </c>
      <c r="Y2" s="7"/>
      <c r="Z2" s="10"/>
      <c r="AA2" s="7"/>
      <c r="AB2" s="10"/>
      <c r="AC2" s="7"/>
      <c r="AD2" s="7"/>
      <c r="AE2" s="7"/>
      <c r="AF2" s="10"/>
      <c r="AG2" s="13"/>
      <c r="AH2" s="3"/>
      <c r="AI2" s="3"/>
      <c r="AJ2" s="3"/>
    </row>
    <row r="3">
      <c r="A3" s="4">
        <v>399.0</v>
      </c>
      <c r="B3" s="5">
        <v>46205.0</v>
      </c>
      <c r="C3" s="6" t="s">
        <v>41</v>
      </c>
      <c r="D3" s="7" t="s">
        <v>40</v>
      </c>
      <c r="E3" s="4">
        <v>1000.0</v>
      </c>
      <c r="F3" s="8"/>
      <c r="G3" s="9"/>
      <c r="H3" s="9"/>
      <c r="I3" s="9"/>
      <c r="J3" s="9"/>
      <c r="K3" s="9"/>
      <c r="L3" s="9"/>
      <c r="M3" s="7">
        <f t="shared" ref="M3:M8" si="6">N3*10</f>
        <v>0</v>
      </c>
      <c r="N3" s="10"/>
      <c r="O3" s="7">
        <f t="shared" si="1"/>
        <v>1000</v>
      </c>
      <c r="P3" s="4">
        <v>50.0</v>
      </c>
      <c r="Q3" s="7">
        <f t="shared" si="2"/>
        <v>0</v>
      </c>
      <c r="R3" s="4"/>
      <c r="S3" s="7">
        <f t="shared" si="3"/>
        <v>0</v>
      </c>
      <c r="T3" s="4"/>
      <c r="U3" s="7">
        <f t="shared" si="4"/>
        <v>0</v>
      </c>
      <c r="V3" s="9"/>
      <c r="W3" s="7">
        <f t="shared" si="5"/>
        <v>0</v>
      </c>
      <c r="X3" s="4"/>
      <c r="Y3" s="7">
        <f t="shared" ref="Y3:Y16" si="7">Z3*1.4</f>
        <v>0</v>
      </c>
      <c r="Z3" s="10"/>
      <c r="AA3" s="7">
        <f t="shared" ref="AA3:AA24" si="8">AB3*1.2</f>
        <v>0</v>
      </c>
      <c r="AB3" s="10"/>
      <c r="AC3" s="7">
        <f>AD3*16</f>
        <v>0</v>
      </c>
      <c r="AD3" s="7">
        <v>0.0</v>
      </c>
      <c r="AE3" s="7">
        <f t="shared" ref="AE3:AE24" si="9">AF3*2.275</f>
        <v>0</v>
      </c>
      <c r="AF3" s="10"/>
      <c r="AG3" s="13"/>
      <c r="AH3" s="3"/>
      <c r="AI3" s="3"/>
      <c r="AJ3" s="3"/>
    </row>
    <row r="4">
      <c r="A4" s="4">
        <v>51.0</v>
      </c>
      <c r="B4" s="5">
        <v>46206.0</v>
      </c>
      <c r="C4" s="6" t="s">
        <v>39</v>
      </c>
      <c r="D4" s="7" t="s">
        <v>40</v>
      </c>
      <c r="E4" s="4">
        <v>650.0</v>
      </c>
      <c r="F4" s="30">
        <v>605.5</v>
      </c>
      <c r="G4" s="4"/>
      <c r="H4" s="4">
        <v>2.0</v>
      </c>
      <c r="I4" s="4">
        <v>42.0</v>
      </c>
      <c r="J4" s="4"/>
      <c r="K4" s="7"/>
      <c r="L4" s="9">
        <v>0.5</v>
      </c>
      <c r="M4" s="7">
        <f t="shared" si="6"/>
        <v>0</v>
      </c>
      <c r="N4" s="10"/>
      <c r="O4" s="7">
        <f t="shared" si="1"/>
        <v>0</v>
      </c>
      <c r="P4" s="9"/>
      <c r="Q4" s="7">
        <f t="shared" si="2"/>
        <v>0</v>
      </c>
      <c r="R4" s="7"/>
      <c r="S4" s="7">
        <f t="shared" si="3"/>
        <v>0</v>
      </c>
      <c r="T4" s="12"/>
      <c r="U4" s="7">
        <f t="shared" si="4"/>
        <v>0</v>
      </c>
      <c r="V4" s="12"/>
      <c r="W4" s="7">
        <f t="shared" si="5"/>
        <v>0</v>
      </c>
      <c r="X4" s="12"/>
      <c r="Y4" s="7">
        <f t="shared" si="7"/>
        <v>0</v>
      </c>
      <c r="Z4" s="10"/>
      <c r="AA4" s="7">
        <f t="shared" si="8"/>
        <v>0</v>
      </c>
      <c r="AB4" s="10"/>
      <c r="AC4" s="7">
        <v>0.0</v>
      </c>
      <c r="AD4" s="10"/>
      <c r="AE4" s="7">
        <f t="shared" si="9"/>
        <v>0</v>
      </c>
      <c r="AF4" s="10"/>
      <c r="AG4" s="3"/>
      <c r="AH4" s="3"/>
      <c r="AI4" s="3"/>
      <c r="AJ4" s="3"/>
    </row>
    <row r="5">
      <c r="A5" s="43">
        <v>53.0</v>
      </c>
      <c r="B5" s="5">
        <v>46209.0</v>
      </c>
      <c r="C5" s="44" t="s">
        <v>41</v>
      </c>
      <c r="D5" s="45" t="s">
        <v>40</v>
      </c>
      <c r="E5" s="43">
        <v>1050.0</v>
      </c>
      <c r="F5" s="8"/>
      <c r="G5" s="46"/>
      <c r="H5" s="46"/>
      <c r="I5" s="46"/>
      <c r="J5" s="46"/>
      <c r="K5" s="46"/>
      <c r="L5" s="46"/>
      <c r="M5" s="45">
        <f t="shared" si="6"/>
        <v>0</v>
      </c>
      <c r="N5" s="47"/>
      <c r="O5" s="45">
        <f t="shared" si="1"/>
        <v>640</v>
      </c>
      <c r="P5" s="48">
        <v>32.0</v>
      </c>
      <c r="Q5" s="45">
        <f t="shared" si="2"/>
        <v>0</v>
      </c>
      <c r="R5" s="48"/>
      <c r="S5" s="45">
        <f t="shared" si="3"/>
        <v>176</v>
      </c>
      <c r="T5" s="48">
        <v>32.0</v>
      </c>
      <c r="U5" s="7">
        <f t="shared" si="4"/>
        <v>18</v>
      </c>
      <c r="V5" s="48">
        <v>12.0</v>
      </c>
      <c r="W5" s="7">
        <f t="shared" si="5"/>
        <v>154</v>
      </c>
      <c r="X5" s="48">
        <v>154.0</v>
      </c>
      <c r="Y5" s="45">
        <f t="shared" si="7"/>
        <v>0</v>
      </c>
      <c r="Z5" s="47"/>
      <c r="AA5" s="45">
        <f t="shared" si="8"/>
        <v>0</v>
      </c>
      <c r="AB5" s="47"/>
      <c r="AC5" s="45">
        <f t="shared" ref="AC5:AC24" si="10">AD5*16</f>
        <v>0</v>
      </c>
      <c r="AD5" s="47"/>
      <c r="AE5" s="45">
        <f t="shared" si="9"/>
        <v>0</v>
      </c>
      <c r="AF5" s="47"/>
      <c r="AG5" s="22"/>
      <c r="AH5" s="22"/>
      <c r="AI5" s="22"/>
      <c r="AJ5" s="22"/>
    </row>
    <row r="6">
      <c r="A6" s="23">
        <v>55.0</v>
      </c>
      <c r="B6" s="5">
        <v>46210.0</v>
      </c>
      <c r="C6" s="6" t="s">
        <v>39</v>
      </c>
      <c r="D6" s="7" t="s">
        <v>40</v>
      </c>
      <c r="E6" s="23">
        <v>890.0</v>
      </c>
      <c r="F6" s="30">
        <v>809.0</v>
      </c>
      <c r="G6" s="9">
        <v>1.5</v>
      </c>
      <c r="H6" s="9">
        <v>4.5</v>
      </c>
      <c r="I6" s="9">
        <v>66.5</v>
      </c>
      <c r="J6" s="9">
        <v>1.0</v>
      </c>
      <c r="K6" s="10"/>
      <c r="L6" s="9">
        <v>7.5</v>
      </c>
      <c r="M6" s="7">
        <f t="shared" si="6"/>
        <v>0</v>
      </c>
      <c r="N6" s="12"/>
      <c r="O6" s="7">
        <f t="shared" si="1"/>
        <v>700</v>
      </c>
      <c r="P6" s="23">
        <v>35.0</v>
      </c>
      <c r="Q6" s="7">
        <f t="shared" si="2"/>
        <v>0</v>
      </c>
      <c r="R6" s="4"/>
      <c r="S6" s="7">
        <f t="shared" si="3"/>
        <v>0</v>
      </c>
      <c r="T6" s="12"/>
      <c r="U6" s="7">
        <f t="shared" si="4"/>
        <v>0</v>
      </c>
      <c r="V6" s="12"/>
      <c r="W6" s="7">
        <f t="shared" si="5"/>
        <v>0</v>
      </c>
      <c r="X6" s="12"/>
      <c r="Y6" s="7">
        <f t="shared" si="7"/>
        <v>0</v>
      </c>
      <c r="Z6" s="10"/>
      <c r="AA6" s="7">
        <f t="shared" si="8"/>
        <v>0</v>
      </c>
      <c r="AB6" s="10"/>
      <c r="AC6" s="7">
        <f t="shared" si="10"/>
        <v>0</v>
      </c>
      <c r="AD6" s="10"/>
      <c r="AE6" s="7">
        <f t="shared" si="9"/>
        <v>0</v>
      </c>
      <c r="AF6" s="10"/>
      <c r="AG6" s="3"/>
      <c r="AH6" s="3"/>
      <c r="AI6" s="3"/>
      <c r="AJ6" s="3"/>
    </row>
    <row r="7">
      <c r="A7" s="23">
        <v>57.0</v>
      </c>
      <c r="B7" s="5">
        <v>46211.0</v>
      </c>
      <c r="C7" s="6" t="s">
        <v>41</v>
      </c>
      <c r="D7" s="7" t="s">
        <v>40</v>
      </c>
      <c r="E7" s="23">
        <v>1260.0</v>
      </c>
      <c r="F7" s="8"/>
      <c r="G7" s="9"/>
      <c r="H7" s="4"/>
      <c r="I7" s="4"/>
      <c r="J7" s="4"/>
      <c r="K7" s="4"/>
      <c r="L7" s="9"/>
      <c r="M7" s="7">
        <f t="shared" si="6"/>
        <v>0</v>
      </c>
      <c r="N7" s="10"/>
      <c r="O7" s="7">
        <f t="shared" si="1"/>
        <v>400</v>
      </c>
      <c r="P7" s="12">
        <v>20.0</v>
      </c>
      <c r="Q7" s="7">
        <f t="shared" si="2"/>
        <v>800</v>
      </c>
      <c r="R7" s="4">
        <v>40.0</v>
      </c>
      <c r="S7" s="7">
        <f t="shared" si="3"/>
        <v>0</v>
      </c>
      <c r="T7" s="10"/>
      <c r="U7" s="7">
        <f t="shared" si="4"/>
        <v>0</v>
      </c>
      <c r="V7" s="9"/>
      <c r="W7" s="7">
        <f t="shared" si="5"/>
        <v>0</v>
      </c>
      <c r="X7" s="9"/>
      <c r="Y7" s="7">
        <f t="shared" si="7"/>
        <v>0</v>
      </c>
      <c r="Z7" s="10"/>
      <c r="AA7" s="7">
        <f t="shared" si="8"/>
        <v>0</v>
      </c>
      <c r="AB7" s="10"/>
      <c r="AC7" s="7">
        <f t="shared" si="10"/>
        <v>0</v>
      </c>
      <c r="AD7" s="10"/>
      <c r="AE7" s="7">
        <f t="shared" si="9"/>
        <v>0</v>
      </c>
      <c r="AF7" s="10"/>
      <c r="AG7" s="3"/>
      <c r="AH7" s="3"/>
      <c r="AI7" s="3"/>
      <c r="AJ7" s="3"/>
    </row>
    <row r="8">
      <c r="A8" s="23">
        <v>59.0</v>
      </c>
      <c r="B8" s="5">
        <v>46212.0</v>
      </c>
      <c r="C8" s="6" t="s">
        <v>41</v>
      </c>
      <c r="D8" s="7" t="s">
        <v>40</v>
      </c>
      <c r="E8" s="23">
        <v>1100.0</v>
      </c>
      <c r="F8" s="8"/>
      <c r="G8" s="26"/>
      <c r="H8" s="12"/>
      <c r="I8" s="12"/>
      <c r="J8" s="12"/>
      <c r="K8" s="12"/>
      <c r="L8" s="12"/>
      <c r="M8" s="7">
        <f t="shared" si="6"/>
        <v>0</v>
      </c>
      <c r="N8" s="10"/>
      <c r="O8" s="7">
        <f t="shared" si="1"/>
        <v>600</v>
      </c>
      <c r="P8" s="4">
        <v>30.0</v>
      </c>
      <c r="Q8" s="7">
        <f t="shared" si="2"/>
        <v>500</v>
      </c>
      <c r="R8" s="4">
        <v>25.0</v>
      </c>
      <c r="S8" s="7">
        <f t="shared" si="3"/>
        <v>0</v>
      </c>
      <c r="T8" s="4"/>
      <c r="U8" s="7">
        <f t="shared" si="4"/>
        <v>0</v>
      </c>
      <c r="V8" s="4"/>
      <c r="W8" s="7">
        <f t="shared" si="5"/>
        <v>0</v>
      </c>
      <c r="X8" s="4"/>
      <c r="Y8" s="7">
        <f t="shared" si="7"/>
        <v>0</v>
      </c>
      <c r="Z8" s="10"/>
      <c r="AA8" s="7">
        <f t="shared" si="8"/>
        <v>0</v>
      </c>
      <c r="AB8" s="10"/>
      <c r="AC8" s="7">
        <f t="shared" si="10"/>
        <v>0</v>
      </c>
      <c r="AD8" s="10"/>
      <c r="AE8" s="7">
        <f t="shared" si="9"/>
        <v>0</v>
      </c>
      <c r="AF8" s="10"/>
      <c r="AG8" s="3"/>
      <c r="AH8" s="3"/>
      <c r="AI8" s="3"/>
      <c r="AJ8" s="3"/>
    </row>
    <row r="9">
      <c r="A9" s="43">
        <v>61.0</v>
      </c>
      <c r="B9" s="5">
        <v>46213.0</v>
      </c>
      <c r="C9" s="6" t="s">
        <v>39</v>
      </c>
      <c r="D9" s="7" t="s">
        <v>40</v>
      </c>
      <c r="E9" s="23">
        <v>320.0</v>
      </c>
      <c r="F9" s="30">
        <v>301.5</v>
      </c>
      <c r="G9" s="4">
        <v>5.0</v>
      </c>
      <c r="H9" s="4">
        <v>4.5</v>
      </c>
      <c r="I9" s="4">
        <v>7.5</v>
      </c>
      <c r="J9" s="4">
        <v>0.5</v>
      </c>
      <c r="K9" s="4"/>
      <c r="L9" s="4">
        <v>1.0</v>
      </c>
      <c r="M9" s="7"/>
      <c r="N9" s="10"/>
      <c r="O9" s="7">
        <f t="shared" si="1"/>
        <v>0</v>
      </c>
      <c r="P9" s="12"/>
      <c r="Q9" s="7">
        <f t="shared" si="2"/>
        <v>0</v>
      </c>
      <c r="R9" s="7"/>
      <c r="S9" s="7">
        <f t="shared" si="3"/>
        <v>0</v>
      </c>
      <c r="T9" s="12"/>
      <c r="U9" s="7">
        <f t="shared" si="4"/>
        <v>0</v>
      </c>
      <c r="V9" s="12"/>
      <c r="W9" s="7">
        <f t="shared" si="5"/>
        <v>0</v>
      </c>
      <c r="X9" s="12"/>
      <c r="Y9" s="7">
        <f t="shared" si="7"/>
        <v>0</v>
      </c>
      <c r="Z9" s="10"/>
      <c r="AA9" s="7">
        <f t="shared" si="8"/>
        <v>0</v>
      </c>
      <c r="AB9" s="10"/>
      <c r="AC9" s="7">
        <f t="shared" si="10"/>
        <v>0</v>
      </c>
      <c r="AD9" s="10"/>
      <c r="AE9" s="7">
        <f t="shared" si="9"/>
        <v>0</v>
      </c>
      <c r="AF9" s="10"/>
      <c r="AG9" s="3"/>
      <c r="AH9" s="3"/>
      <c r="AI9" s="3"/>
      <c r="AJ9" s="3"/>
    </row>
    <row r="10">
      <c r="A10" s="23">
        <v>63.0</v>
      </c>
      <c r="B10" s="5">
        <v>46216.0</v>
      </c>
      <c r="C10" s="6" t="s">
        <v>41</v>
      </c>
      <c r="D10" s="7" t="s">
        <v>40</v>
      </c>
      <c r="E10" s="23">
        <v>920.0</v>
      </c>
      <c r="F10" s="8"/>
      <c r="G10" s="12"/>
      <c r="H10" s="12"/>
      <c r="I10" s="12"/>
      <c r="J10" s="12"/>
      <c r="K10" s="12"/>
      <c r="L10" s="12"/>
      <c r="M10" s="7">
        <f t="shared" ref="M10:M20" si="11">N10*10</f>
        <v>0</v>
      </c>
      <c r="N10" s="10"/>
      <c r="O10" s="7">
        <f t="shared" si="1"/>
        <v>500</v>
      </c>
      <c r="P10" s="4">
        <v>25.0</v>
      </c>
      <c r="Q10" s="7">
        <f t="shared" si="2"/>
        <v>300</v>
      </c>
      <c r="R10" s="4">
        <v>15.0</v>
      </c>
      <c r="S10" s="7">
        <f t="shared" si="3"/>
        <v>0</v>
      </c>
      <c r="T10" s="4"/>
      <c r="U10" s="7">
        <f t="shared" si="4"/>
        <v>12</v>
      </c>
      <c r="V10" s="9">
        <v>8.0</v>
      </c>
      <c r="W10" s="7">
        <f t="shared" si="5"/>
        <v>28</v>
      </c>
      <c r="X10" s="9">
        <v>28.0</v>
      </c>
      <c r="Y10" s="7">
        <f t="shared" si="7"/>
        <v>0</v>
      </c>
      <c r="Z10" s="10"/>
      <c r="AA10" s="7">
        <f t="shared" si="8"/>
        <v>0</v>
      </c>
      <c r="AB10" s="10"/>
      <c r="AC10" s="7">
        <f t="shared" si="10"/>
        <v>0</v>
      </c>
      <c r="AD10" s="10"/>
      <c r="AE10" s="7">
        <f t="shared" si="9"/>
        <v>0</v>
      </c>
      <c r="AF10" s="10"/>
      <c r="AG10" s="3"/>
      <c r="AH10" s="3"/>
      <c r="AI10" s="3"/>
      <c r="AJ10" s="3"/>
    </row>
    <row r="11">
      <c r="A11" s="23">
        <v>65.0</v>
      </c>
      <c r="B11" s="5">
        <v>46217.0</v>
      </c>
      <c r="C11" s="6" t="s">
        <v>39</v>
      </c>
      <c r="D11" s="7" t="s">
        <v>40</v>
      </c>
      <c r="E11" s="23">
        <v>400.0</v>
      </c>
      <c r="F11" s="30" t="s">
        <v>72</v>
      </c>
      <c r="G11" s="9">
        <v>10.5</v>
      </c>
      <c r="H11" s="9">
        <v>2.0</v>
      </c>
      <c r="I11" s="9">
        <v>55.5</v>
      </c>
      <c r="J11" s="9">
        <v>3.0</v>
      </c>
      <c r="K11" s="10"/>
      <c r="L11" s="9">
        <v>1.5</v>
      </c>
      <c r="M11" s="7">
        <f t="shared" si="11"/>
        <v>0</v>
      </c>
      <c r="N11" s="10"/>
      <c r="O11" s="7">
        <f t="shared" si="1"/>
        <v>0</v>
      </c>
      <c r="P11" s="23"/>
      <c r="Q11" s="7">
        <f t="shared" si="2"/>
        <v>0</v>
      </c>
      <c r="R11" s="4"/>
      <c r="S11" s="7">
        <f t="shared" si="3"/>
        <v>0</v>
      </c>
      <c r="T11" s="10"/>
      <c r="U11" s="7">
        <f t="shared" si="4"/>
        <v>0</v>
      </c>
      <c r="V11" s="10"/>
      <c r="W11" s="7">
        <f t="shared" si="5"/>
        <v>0</v>
      </c>
      <c r="X11" s="10"/>
      <c r="Y11" s="7">
        <f t="shared" si="7"/>
        <v>0</v>
      </c>
      <c r="Z11" s="10"/>
      <c r="AA11" s="7">
        <f t="shared" si="8"/>
        <v>0</v>
      </c>
      <c r="AB11" s="10"/>
      <c r="AC11" s="7">
        <f t="shared" si="10"/>
        <v>0</v>
      </c>
      <c r="AD11" s="10"/>
      <c r="AE11" s="7">
        <f t="shared" si="9"/>
        <v>0</v>
      </c>
      <c r="AF11" s="10"/>
      <c r="AG11" s="3"/>
      <c r="AH11" s="3"/>
      <c r="AI11" s="3"/>
      <c r="AJ11" s="3"/>
    </row>
    <row r="12">
      <c r="A12" s="43">
        <v>67.0</v>
      </c>
      <c r="B12" s="5">
        <v>46218.0</v>
      </c>
      <c r="C12" s="6" t="s">
        <v>41</v>
      </c>
      <c r="D12" s="7" t="s">
        <v>40</v>
      </c>
      <c r="E12" s="23">
        <v>1050.0</v>
      </c>
      <c r="F12" s="8"/>
      <c r="G12" s="23"/>
      <c r="H12" s="23"/>
      <c r="I12" s="23"/>
      <c r="J12" s="23"/>
      <c r="K12" s="23"/>
      <c r="L12" s="9"/>
      <c r="M12" s="7">
        <f t="shared" si="11"/>
        <v>0</v>
      </c>
      <c r="N12" s="10"/>
      <c r="O12" s="7">
        <f t="shared" si="1"/>
        <v>840</v>
      </c>
      <c r="P12" s="12">
        <v>42.0</v>
      </c>
      <c r="Q12" s="7">
        <f t="shared" si="2"/>
        <v>180</v>
      </c>
      <c r="R12" s="4">
        <v>9.0</v>
      </c>
      <c r="S12" s="7">
        <f t="shared" si="3"/>
        <v>0</v>
      </c>
      <c r="T12" s="9"/>
      <c r="U12" s="7">
        <f t="shared" si="4"/>
        <v>0</v>
      </c>
      <c r="V12" s="9"/>
      <c r="W12" s="7">
        <f t="shared" si="5"/>
        <v>0</v>
      </c>
      <c r="X12" s="9"/>
      <c r="Y12" s="7">
        <f t="shared" si="7"/>
        <v>0</v>
      </c>
      <c r="Z12" s="10"/>
      <c r="AA12" s="7">
        <f t="shared" si="8"/>
        <v>0</v>
      </c>
      <c r="AB12" s="10"/>
      <c r="AC12" s="7">
        <f t="shared" si="10"/>
        <v>0</v>
      </c>
      <c r="AD12" s="10"/>
      <c r="AE12" s="7">
        <f t="shared" si="9"/>
        <v>0</v>
      </c>
      <c r="AF12" s="10"/>
      <c r="AG12" s="3"/>
      <c r="AH12" s="3"/>
      <c r="AI12" s="3"/>
      <c r="AJ12" s="3"/>
    </row>
    <row r="13" ht="16.5" customHeight="1">
      <c r="A13" s="23">
        <v>69.0</v>
      </c>
      <c r="B13" s="5">
        <v>46220.0</v>
      </c>
      <c r="C13" s="6" t="s">
        <v>39</v>
      </c>
      <c r="D13" s="7" t="s">
        <v>40</v>
      </c>
      <c r="E13" s="23">
        <v>300.0</v>
      </c>
      <c r="F13" s="30">
        <v>276.5</v>
      </c>
      <c r="G13" s="26">
        <v>5.5</v>
      </c>
      <c r="H13" s="12">
        <v>9.0</v>
      </c>
      <c r="I13" s="12">
        <v>7.0</v>
      </c>
      <c r="J13" s="9">
        <v>2.0</v>
      </c>
      <c r="K13" s="10"/>
      <c r="L13" s="9"/>
      <c r="M13" s="7">
        <f t="shared" si="11"/>
        <v>0</v>
      </c>
      <c r="N13" s="10"/>
      <c r="O13" s="7">
        <f t="shared" si="1"/>
        <v>0</v>
      </c>
      <c r="P13" s="23"/>
      <c r="Q13" s="7">
        <f t="shared" si="2"/>
        <v>0</v>
      </c>
      <c r="R13" s="4"/>
      <c r="S13" s="7">
        <f t="shared" si="3"/>
        <v>0</v>
      </c>
      <c r="T13" s="23"/>
      <c r="U13" s="7">
        <f t="shared" si="4"/>
        <v>0</v>
      </c>
      <c r="V13" s="23"/>
      <c r="W13" s="7">
        <f t="shared" si="5"/>
        <v>0</v>
      </c>
      <c r="X13" s="23"/>
      <c r="Y13" s="7">
        <f t="shared" si="7"/>
        <v>0</v>
      </c>
      <c r="Z13" s="10"/>
      <c r="AA13" s="7">
        <f t="shared" si="8"/>
        <v>0</v>
      </c>
      <c r="AB13" s="10"/>
      <c r="AC13" s="7">
        <f t="shared" si="10"/>
        <v>0</v>
      </c>
      <c r="AD13" s="10"/>
      <c r="AE13" s="7">
        <f t="shared" si="9"/>
        <v>0</v>
      </c>
      <c r="AF13" s="9"/>
      <c r="AG13" s="3"/>
      <c r="AH13" s="3"/>
      <c r="AI13" s="3"/>
      <c r="AJ13" s="3"/>
    </row>
    <row r="14">
      <c r="A14" s="43">
        <v>71.0</v>
      </c>
      <c r="B14" s="5">
        <v>46223.0</v>
      </c>
      <c r="C14" s="6" t="s">
        <v>41</v>
      </c>
      <c r="D14" s="7" t="s">
        <v>40</v>
      </c>
      <c r="E14" s="23">
        <v>1120.0</v>
      </c>
      <c r="F14" s="8"/>
      <c r="G14" s="23"/>
      <c r="H14" s="23"/>
      <c r="I14" s="23"/>
      <c r="J14" s="9"/>
      <c r="K14" s="10"/>
      <c r="L14" s="9"/>
      <c r="M14" s="7">
        <f t="shared" si="11"/>
        <v>0</v>
      </c>
      <c r="N14" s="10"/>
      <c r="O14" s="7">
        <f t="shared" si="1"/>
        <v>420</v>
      </c>
      <c r="P14" s="12">
        <v>21.0</v>
      </c>
      <c r="Q14" s="7">
        <f t="shared" si="2"/>
        <v>700</v>
      </c>
      <c r="R14" s="4">
        <v>35.0</v>
      </c>
      <c r="S14" s="7">
        <f t="shared" si="3"/>
        <v>0</v>
      </c>
      <c r="T14" s="12"/>
      <c r="U14" s="7">
        <f t="shared" si="4"/>
        <v>13.5</v>
      </c>
      <c r="V14" s="9">
        <v>9.0</v>
      </c>
      <c r="W14" s="7">
        <f t="shared" si="5"/>
        <v>169</v>
      </c>
      <c r="X14" s="12">
        <v>169.0</v>
      </c>
      <c r="Y14" s="7">
        <f t="shared" si="7"/>
        <v>0</v>
      </c>
      <c r="Z14" s="10"/>
      <c r="AA14" s="7">
        <f t="shared" si="8"/>
        <v>0</v>
      </c>
      <c r="AB14" s="10"/>
      <c r="AC14" s="7">
        <f t="shared" si="10"/>
        <v>0</v>
      </c>
      <c r="AD14" s="10"/>
      <c r="AE14" s="7">
        <f t="shared" si="9"/>
        <v>0</v>
      </c>
      <c r="AF14" s="10"/>
      <c r="AG14" s="3"/>
      <c r="AH14" s="3"/>
      <c r="AI14" s="3"/>
      <c r="AJ14" s="3"/>
    </row>
    <row r="15">
      <c r="A15" s="23">
        <v>73.0</v>
      </c>
      <c r="B15" s="5">
        <v>46224.0</v>
      </c>
      <c r="C15" s="44" t="s">
        <v>39</v>
      </c>
      <c r="D15" s="7" t="s">
        <v>40</v>
      </c>
      <c r="E15" s="23">
        <v>750.0</v>
      </c>
      <c r="F15" s="30">
        <v>646.0</v>
      </c>
      <c r="G15" s="12">
        <v>5.0</v>
      </c>
      <c r="H15" s="12">
        <v>6.0</v>
      </c>
      <c r="I15" s="12">
        <v>82.0</v>
      </c>
      <c r="J15" s="12"/>
      <c r="K15" s="12"/>
      <c r="L15" s="9">
        <v>11.0</v>
      </c>
      <c r="M15" s="7">
        <f t="shared" si="11"/>
        <v>0</v>
      </c>
      <c r="N15" s="10"/>
      <c r="O15" s="7">
        <f t="shared" si="1"/>
        <v>960</v>
      </c>
      <c r="P15" s="4">
        <v>48.0</v>
      </c>
      <c r="Q15" s="7">
        <f t="shared" si="2"/>
        <v>0</v>
      </c>
      <c r="R15" s="4"/>
      <c r="S15" s="7">
        <f t="shared" si="3"/>
        <v>0</v>
      </c>
      <c r="T15" s="7"/>
      <c r="U15" s="7">
        <f t="shared" si="4"/>
        <v>0</v>
      </c>
      <c r="V15" s="7"/>
      <c r="W15" s="7">
        <f t="shared" si="5"/>
        <v>0</v>
      </c>
      <c r="X15" s="10"/>
      <c r="Y15" s="7">
        <f t="shared" si="7"/>
        <v>0</v>
      </c>
      <c r="Z15" s="10"/>
      <c r="AA15" s="7">
        <f t="shared" si="8"/>
        <v>0</v>
      </c>
      <c r="AB15" s="10"/>
      <c r="AC15" s="7">
        <f t="shared" si="10"/>
        <v>0</v>
      </c>
      <c r="AD15" s="10"/>
      <c r="AE15" s="7">
        <f t="shared" si="9"/>
        <v>0</v>
      </c>
      <c r="AF15" s="10"/>
      <c r="AG15" s="3"/>
      <c r="AH15" s="3"/>
      <c r="AI15" s="3"/>
      <c r="AJ15" s="3"/>
    </row>
    <row r="16" ht="15.75" customHeight="1">
      <c r="A16" s="55">
        <v>75.0</v>
      </c>
      <c r="B16" s="5">
        <v>46225.0</v>
      </c>
      <c r="C16" s="6" t="s">
        <v>41</v>
      </c>
      <c r="D16" s="7" t="s">
        <v>40</v>
      </c>
      <c r="E16" s="23">
        <v>1270.0</v>
      </c>
      <c r="F16" s="8"/>
      <c r="G16" s="9"/>
      <c r="H16" s="9"/>
      <c r="I16" s="9"/>
      <c r="J16" s="9"/>
      <c r="K16" s="10"/>
      <c r="L16" s="9"/>
      <c r="M16" s="7">
        <f t="shared" si="11"/>
        <v>0</v>
      </c>
      <c r="N16" s="10"/>
      <c r="O16" s="7">
        <f t="shared" si="1"/>
        <v>200</v>
      </c>
      <c r="P16" s="12">
        <v>10.0</v>
      </c>
      <c r="Q16" s="7">
        <f t="shared" si="2"/>
        <v>400</v>
      </c>
      <c r="R16" s="4">
        <v>20.0</v>
      </c>
      <c r="S16" s="7">
        <f t="shared" si="3"/>
        <v>632.5</v>
      </c>
      <c r="T16" s="9">
        <v>115.0</v>
      </c>
      <c r="U16" s="7">
        <f t="shared" si="4"/>
        <v>0</v>
      </c>
      <c r="V16" s="9"/>
      <c r="W16" s="7">
        <f t="shared" si="5"/>
        <v>0</v>
      </c>
      <c r="X16" s="10"/>
      <c r="Y16" s="7">
        <f t="shared" si="7"/>
        <v>0</v>
      </c>
      <c r="Z16" s="10"/>
      <c r="AA16" s="7">
        <f t="shared" si="8"/>
        <v>0</v>
      </c>
      <c r="AB16" s="10"/>
      <c r="AC16" s="7">
        <f t="shared" si="10"/>
        <v>0</v>
      </c>
      <c r="AD16" s="10"/>
      <c r="AE16" s="7">
        <f t="shared" si="9"/>
        <v>0</v>
      </c>
      <c r="AF16" s="10"/>
      <c r="AG16" s="3"/>
      <c r="AH16" s="3"/>
      <c r="AI16" s="3"/>
      <c r="AJ16" s="3"/>
    </row>
    <row r="17">
      <c r="A17" s="23">
        <v>77.0</v>
      </c>
      <c r="B17" s="5">
        <v>46226.0</v>
      </c>
      <c r="C17" s="6" t="s">
        <v>41</v>
      </c>
      <c r="D17" s="7" t="s">
        <v>40</v>
      </c>
      <c r="E17" s="23">
        <v>1130.0</v>
      </c>
      <c r="F17" s="8"/>
      <c r="G17" s="12"/>
      <c r="H17" s="12"/>
      <c r="I17" s="12"/>
      <c r="J17" s="12"/>
      <c r="K17" s="12"/>
      <c r="L17" s="12"/>
      <c r="M17" s="7">
        <f t="shared" si="11"/>
        <v>0</v>
      </c>
      <c r="N17" s="10"/>
      <c r="O17" s="7">
        <f t="shared" si="1"/>
        <v>500</v>
      </c>
      <c r="P17" s="23">
        <v>25.0</v>
      </c>
      <c r="Q17" s="7">
        <f t="shared" si="2"/>
        <v>600</v>
      </c>
      <c r="R17" s="4">
        <v>30.0</v>
      </c>
      <c r="S17" s="7">
        <f t="shared" si="3"/>
        <v>0</v>
      </c>
      <c r="T17" s="9"/>
      <c r="U17" s="7">
        <f t="shared" si="4"/>
        <v>0</v>
      </c>
      <c r="V17" s="23"/>
      <c r="W17" s="7">
        <f t="shared" si="5"/>
        <v>0</v>
      </c>
      <c r="X17" s="23"/>
      <c r="Y17" s="7"/>
      <c r="Z17" s="10"/>
      <c r="AA17" s="7">
        <f t="shared" si="8"/>
        <v>0</v>
      </c>
      <c r="AB17" s="10"/>
      <c r="AC17" s="7">
        <f t="shared" si="10"/>
        <v>0</v>
      </c>
      <c r="AD17" s="10"/>
      <c r="AE17" s="7">
        <f t="shared" si="9"/>
        <v>0</v>
      </c>
      <c r="AF17" s="10"/>
      <c r="AG17" s="3"/>
      <c r="AH17" s="3"/>
      <c r="AI17" s="3"/>
      <c r="AJ17" s="3"/>
    </row>
    <row r="18">
      <c r="A18" s="23">
        <v>81.0</v>
      </c>
      <c r="B18" s="5">
        <v>46227.0</v>
      </c>
      <c r="C18" s="6" t="s">
        <v>39</v>
      </c>
      <c r="D18" s="7" t="s">
        <v>40</v>
      </c>
      <c r="E18" s="23">
        <v>550.0</v>
      </c>
      <c r="F18" s="30">
        <v>488.0</v>
      </c>
      <c r="G18" s="12">
        <v>3.0</v>
      </c>
      <c r="H18" s="12"/>
      <c r="I18" s="12">
        <v>27.0</v>
      </c>
      <c r="J18" s="12"/>
      <c r="K18" s="12"/>
      <c r="L18" s="12">
        <v>2.5</v>
      </c>
      <c r="M18" s="7">
        <f t="shared" si="11"/>
        <v>0</v>
      </c>
      <c r="N18" s="10"/>
      <c r="O18" s="7">
        <f t="shared" si="1"/>
        <v>0</v>
      </c>
      <c r="P18" s="23"/>
      <c r="Q18" s="7">
        <f t="shared" si="2"/>
        <v>0</v>
      </c>
      <c r="R18" s="4"/>
      <c r="S18" s="7">
        <f t="shared" si="3"/>
        <v>0</v>
      </c>
      <c r="T18" s="23"/>
      <c r="U18" s="7">
        <f t="shared" si="4"/>
        <v>0</v>
      </c>
      <c r="V18" s="4"/>
      <c r="W18" s="7">
        <f t="shared" si="5"/>
        <v>0</v>
      </c>
      <c r="X18" s="4"/>
      <c r="Y18" s="7">
        <f t="shared" ref="Y18:Y24" si="12">Z18*1.4</f>
        <v>0</v>
      </c>
      <c r="Z18" s="9"/>
      <c r="AA18" s="7">
        <f t="shared" si="8"/>
        <v>0</v>
      </c>
      <c r="AB18" s="10"/>
      <c r="AC18" s="7">
        <f t="shared" si="10"/>
        <v>0</v>
      </c>
      <c r="AD18" s="10"/>
      <c r="AE18" s="7">
        <f t="shared" si="9"/>
        <v>0</v>
      </c>
      <c r="AF18" s="10"/>
      <c r="AG18" s="42" t="s">
        <v>73</v>
      </c>
      <c r="AH18" s="3"/>
      <c r="AI18" s="3"/>
      <c r="AJ18" s="3"/>
    </row>
    <row r="19">
      <c r="A19" s="43">
        <v>83.0</v>
      </c>
      <c r="B19" s="5">
        <v>46230.0</v>
      </c>
      <c r="C19" s="6" t="s">
        <v>41</v>
      </c>
      <c r="D19" s="7" t="s">
        <v>40</v>
      </c>
      <c r="E19" s="23">
        <v>1110.0</v>
      </c>
      <c r="F19" s="8"/>
      <c r="G19" s="9"/>
      <c r="H19" s="9"/>
      <c r="I19" s="9"/>
      <c r="J19" s="9"/>
      <c r="K19" s="10"/>
      <c r="L19" s="9"/>
      <c r="M19" s="7">
        <f t="shared" si="11"/>
        <v>0</v>
      </c>
      <c r="N19" s="10"/>
      <c r="O19" s="7">
        <f t="shared" si="1"/>
        <v>200</v>
      </c>
      <c r="P19" s="12">
        <v>10.0</v>
      </c>
      <c r="Q19" s="7">
        <f t="shared" si="2"/>
        <v>420</v>
      </c>
      <c r="R19" s="4">
        <v>21.0</v>
      </c>
      <c r="S19" s="7">
        <f t="shared" si="3"/>
        <v>176</v>
      </c>
      <c r="T19" s="12">
        <v>32.0</v>
      </c>
      <c r="U19" s="7">
        <f t="shared" si="4"/>
        <v>12</v>
      </c>
      <c r="V19" s="9">
        <v>8.0</v>
      </c>
      <c r="W19" s="7">
        <f t="shared" si="5"/>
        <v>246</v>
      </c>
      <c r="X19" s="12">
        <v>246.0</v>
      </c>
      <c r="Y19" s="7">
        <f t="shared" si="12"/>
        <v>0</v>
      </c>
      <c r="Z19" s="10"/>
      <c r="AA19" s="7">
        <f t="shared" si="8"/>
        <v>0</v>
      </c>
      <c r="AB19" s="10"/>
      <c r="AC19" s="7">
        <f t="shared" si="10"/>
        <v>0</v>
      </c>
      <c r="AD19" s="10"/>
      <c r="AE19" s="7">
        <f t="shared" si="9"/>
        <v>0</v>
      </c>
      <c r="AF19" s="10"/>
      <c r="AG19" s="3"/>
      <c r="AH19" s="3"/>
      <c r="AI19" s="3"/>
      <c r="AJ19" s="3"/>
    </row>
    <row r="20">
      <c r="A20" s="23">
        <v>85.0</v>
      </c>
      <c r="B20" s="5">
        <v>46231.0</v>
      </c>
      <c r="C20" s="6" t="s">
        <v>39</v>
      </c>
      <c r="D20" s="7" t="s">
        <v>40</v>
      </c>
      <c r="E20" s="23">
        <v>760.0</v>
      </c>
      <c r="F20" s="30">
        <v>736.5</v>
      </c>
      <c r="G20" s="23">
        <v>1.5</v>
      </c>
      <c r="H20" s="23">
        <v>5.0</v>
      </c>
      <c r="I20" s="23">
        <v>9.0</v>
      </c>
      <c r="J20" s="23">
        <v>1.0</v>
      </c>
      <c r="K20" s="28"/>
      <c r="L20" s="23">
        <v>7.0</v>
      </c>
      <c r="M20" s="7">
        <f t="shared" si="11"/>
        <v>0</v>
      </c>
      <c r="N20" s="9"/>
      <c r="O20" s="7">
        <f t="shared" si="1"/>
        <v>800</v>
      </c>
      <c r="P20" s="12">
        <v>40.0</v>
      </c>
      <c r="Q20" s="7">
        <f t="shared" si="2"/>
        <v>400</v>
      </c>
      <c r="R20" s="4">
        <v>20.0</v>
      </c>
      <c r="S20" s="7">
        <f t="shared" si="3"/>
        <v>0</v>
      </c>
      <c r="T20" s="10"/>
      <c r="U20" s="7">
        <f t="shared" si="4"/>
        <v>0</v>
      </c>
      <c r="V20" s="10"/>
      <c r="W20" s="7">
        <f t="shared" si="5"/>
        <v>0</v>
      </c>
      <c r="X20" s="10"/>
      <c r="Y20" s="7">
        <f t="shared" si="12"/>
        <v>0</v>
      </c>
      <c r="Z20" s="10"/>
      <c r="AA20" s="7">
        <f t="shared" si="8"/>
        <v>0</v>
      </c>
      <c r="AB20" s="10"/>
      <c r="AC20" s="7">
        <f t="shared" si="10"/>
        <v>0</v>
      </c>
      <c r="AD20" s="10"/>
      <c r="AE20" s="7">
        <f t="shared" si="9"/>
        <v>0</v>
      </c>
      <c r="AF20" s="10"/>
      <c r="AG20" s="3"/>
      <c r="AH20" s="3"/>
      <c r="AI20" s="3"/>
      <c r="AJ20" s="3"/>
    </row>
    <row r="21">
      <c r="A21" s="12">
        <v>87.0</v>
      </c>
      <c r="B21" s="5">
        <v>46232.0</v>
      </c>
      <c r="C21" s="12" t="s">
        <v>41</v>
      </c>
      <c r="D21" s="7" t="s">
        <v>40</v>
      </c>
      <c r="E21" s="56">
        <v>1120.0</v>
      </c>
      <c r="F21" s="8"/>
      <c r="G21" s="12"/>
      <c r="H21" s="12"/>
      <c r="I21" s="12"/>
      <c r="J21" s="12"/>
      <c r="K21" s="12"/>
      <c r="L21" s="12"/>
      <c r="M21" s="10"/>
      <c r="N21" s="10"/>
      <c r="O21" s="7">
        <f t="shared" si="1"/>
        <v>500</v>
      </c>
      <c r="P21" s="9">
        <v>25.0</v>
      </c>
      <c r="Q21" s="7">
        <f t="shared" si="2"/>
        <v>540</v>
      </c>
      <c r="R21" s="4">
        <v>27.0</v>
      </c>
      <c r="S21" s="7">
        <f t="shared" si="3"/>
        <v>0</v>
      </c>
      <c r="T21" s="10"/>
      <c r="U21" s="7">
        <f t="shared" si="4"/>
        <v>0</v>
      </c>
      <c r="V21" s="9"/>
      <c r="W21" s="7">
        <f t="shared" si="5"/>
        <v>0</v>
      </c>
      <c r="X21" s="9"/>
      <c r="Y21" s="7">
        <f t="shared" si="12"/>
        <v>0</v>
      </c>
      <c r="Z21" s="10"/>
      <c r="AA21" s="7">
        <f t="shared" si="8"/>
        <v>0</v>
      </c>
      <c r="AB21" s="10"/>
      <c r="AC21" s="7">
        <f t="shared" si="10"/>
        <v>0</v>
      </c>
      <c r="AD21" s="10"/>
      <c r="AE21" s="7">
        <f t="shared" si="9"/>
        <v>0</v>
      </c>
      <c r="AF21" s="10"/>
      <c r="AG21" s="3"/>
      <c r="AH21" s="3"/>
      <c r="AI21" s="3"/>
      <c r="AJ21" s="3"/>
    </row>
    <row r="22">
      <c r="A22" s="9">
        <v>89.0</v>
      </c>
      <c r="B22" s="5">
        <v>46233.0</v>
      </c>
      <c r="C22" s="9" t="s">
        <v>41</v>
      </c>
      <c r="D22" s="7" t="s">
        <v>40</v>
      </c>
      <c r="E22" s="54">
        <v>1050.0</v>
      </c>
      <c r="F22" s="8"/>
      <c r="G22" s="9"/>
      <c r="H22" s="9"/>
      <c r="I22" s="9"/>
      <c r="J22" s="9"/>
      <c r="K22" s="10"/>
      <c r="L22" s="9"/>
      <c r="M22" s="10"/>
      <c r="N22" s="10"/>
      <c r="O22" s="7">
        <f t="shared" si="1"/>
        <v>700</v>
      </c>
      <c r="P22" s="9">
        <v>35.0</v>
      </c>
      <c r="Q22" s="7">
        <f t="shared" si="2"/>
        <v>320</v>
      </c>
      <c r="R22" s="4">
        <v>16.0</v>
      </c>
      <c r="S22" s="7">
        <f t="shared" si="3"/>
        <v>0</v>
      </c>
      <c r="T22" s="10"/>
      <c r="U22" s="7">
        <f t="shared" si="4"/>
        <v>0</v>
      </c>
      <c r="V22" s="10"/>
      <c r="W22" s="7">
        <f t="shared" si="5"/>
        <v>0</v>
      </c>
      <c r="X22" s="10"/>
      <c r="Y22" s="7">
        <f t="shared" si="12"/>
        <v>0</v>
      </c>
      <c r="Z22" s="10"/>
      <c r="AA22" s="7">
        <f t="shared" si="8"/>
        <v>0</v>
      </c>
      <c r="AB22" s="10"/>
      <c r="AC22" s="7">
        <f t="shared" si="10"/>
        <v>0</v>
      </c>
      <c r="AD22" s="10"/>
      <c r="AE22" s="7">
        <f t="shared" si="9"/>
        <v>0</v>
      </c>
      <c r="AF22" s="10"/>
      <c r="AI22" s="3"/>
      <c r="AJ22" s="3"/>
    </row>
    <row r="23">
      <c r="A23" s="9">
        <v>91.0</v>
      </c>
      <c r="B23" s="5">
        <v>46234.0</v>
      </c>
      <c r="C23" s="9" t="s">
        <v>39</v>
      </c>
      <c r="D23" s="7" t="s">
        <v>40</v>
      </c>
      <c r="E23" s="54">
        <v>530.0</v>
      </c>
      <c r="F23" s="30">
        <v>514.0</v>
      </c>
      <c r="G23" s="9"/>
      <c r="H23" s="9">
        <v>4.0</v>
      </c>
      <c r="I23" s="9">
        <v>9.0</v>
      </c>
      <c r="J23" s="9">
        <v>1.0</v>
      </c>
      <c r="K23" s="10"/>
      <c r="L23" s="9">
        <v>2.0</v>
      </c>
      <c r="M23" s="10"/>
      <c r="N23" s="10"/>
      <c r="O23" s="7">
        <f t="shared" si="1"/>
        <v>0</v>
      </c>
      <c r="P23" s="10"/>
      <c r="Q23" s="7">
        <f t="shared" si="2"/>
        <v>0</v>
      </c>
      <c r="R23" s="7"/>
      <c r="S23" s="7">
        <f t="shared" si="3"/>
        <v>0</v>
      </c>
      <c r="T23" s="10"/>
      <c r="U23" s="7">
        <f t="shared" si="4"/>
        <v>0</v>
      </c>
      <c r="V23" s="10"/>
      <c r="W23" s="7">
        <f t="shared" si="5"/>
        <v>0</v>
      </c>
      <c r="X23" s="10"/>
      <c r="Y23" s="7">
        <f t="shared" si="12"/>
        <v>0</v>
      </c>
      <c r="Z23" s="10"/>
      <c r="AA23" s="7">
        <f t="shared" si="8"/>
        <v>0</v>
      </c>
      <c r="AB23" s="10"/>
      <c r="AC23" s="7">
        <f t="shared" si="10"/>
        <v>0</v>
      </c>
      <c r="AD23" s="10"/>
      <c r="AE23" s="7">
        <f t="shared" si="9"/>
        <v>0</v>
      </c>
      <c r="AF23" s="10"/>
      <c r="AI23" s="3"/>
      <c r="AJ23" s="3"/>
    </row>
    <row r="24">
      <c r="A24" s="9"/>
      <c r="C24" s="9"/>
      <c r="D24" s="7"/>
      <c r="E24" s="54"/>
      <c r="F24" s="8"/>
      <c r="G24" s="9"/>
      <c r="H24" s="9"/>
      <c r="I24" s="9"/>
      <c r="J24" s="9"/>
      <c r="K24" s="10"/>
      <c r="L24" s="10"/>
      <c r="M24" s="10"/>
      <c r="N24" s="10"/>
      <c r="O24" s="7">
        <f t="shared" si="1"/>
        <v>0</v>
      </c>
      <c r="P24" s="10"/>
      <c r="Q24" s="7">
        <f t="shared" si="2"/>
        <v>0</v>
      </c>
      <c r="R24" s="7"/>
      <c r="S24" s="7">
        <f t="shared" si="3"/>
        <v>0</v>
      </c>
      <c r="T24" s="10"/>
      <c r="U24" s="7">
        <f t="shared" si="4"/>
        <v>0</v>
      </c>
      <c r="V24" s="10"/>
      <c r="W24" s="7">
        <f t="shared" si="5"/>
        <v>0</v>
      </c>
      <c r="X24" s="10"/>
      <c r="Y24" s="7">
        <f t="shared" si="12"/>
        <v>0</v>
      </c>
      <c r="Z24" s="10"/>
      <c r="AA24" s="7">
        <f t="shared" si="8"/>
        <v>0</v>
      </c>
      <c r="AB24" s="10"/>
      <c r="AC24" s="7">
        <f t="shared" si="10"/>
        <v>0</v>
      </c>
      <c r="AD24" s="10"/>
      <c r="AE24" s="7">
        <f t="shared" si="9"/>
        <v>0</v>
      </c>
      <c r="AF24" s="10"/>
      <c r="AI24" s="3"/>
      <c r="AJ24" s="3"/>
    </row>
    <row r="25">
      <c r="A25" s="32" t="s">
        <v>55</v>
      </c>
      <c r="B25" s="33"/>
      <c r="C25" s="33"/>
      <c r="D25" s="34"/>
      <c r="E25" s="35">
        <f>SUM(F25:AE25)</f>
        <v>22570</v>
      </c>
      <c r="F25" s="35">
        <f t="shared" ref="F25:L25" si="13">SUM(F3:F24)</f>
        <v>4377</v>
      </c>
      <c r="G25" s="35">
        <f t="shared" si="13"/>
        <v>32</v>
      </c>
      <c r="H25" s="35">
        <f t="shared" si="13"/>
        <v>37</v>
      </c>
      <c r="I25" s="35">
        <f t="shared" si="13"/>
        <v>305.5</v>
      </c>
      <c r="J25" s="35">
        <f t="shared" si="13"/>
        <v>8.5</v>
      </c>
      <c r="K25" s="35">
        <f t="shared" si="13"/>
        <v>0</v>
      </c>
      <c r="L25" s="35">
        <f t="shared" si="13"/>
        <v>33</v>
      </c>
      <c r="M25" s="35">
        <f t="shared" ref="M25:O25" si="14">SUM(M3:M22)</f>
        <v>0</v>
      </c>
      <c r="N25" s="35">
        <f t="shared" si="14"/>
        <v>0</v>
      </c>
      <c r="O25" s="35">
        <f t="shared" si="14"/>
        <v>8960</v>
      </c>
      <c r="P25" s="35">
        <f>SUM(P2:P22)</f>
        <v>473</v>
      </c>
      <c r="Q25" s="35">
        <f t="shared" ref="Q25:U25" si="15">SUM(Q3:Q22)</f>
        <v>5160</v>
      </c>
      <c r="R25" s="35">
        <f t="shared" si="15"/>
        <v>258</v>
      </c>
      <c r="S25" s="35">
        <f t="shared" si="15"/>
        <v>984.5</v>
      </c>
      <c r="T25" s="35">
        <f t="shared" si="15"/>
        <v>179</v>
      </c>
      <c r="U25" s="35">
        <f t="shared" si="15"/>
        <v>55.5</v>
      </c>
      <c r="V25" s="35">
        <f t="shared" ref="V25:X25" si="16">SUM(V2:V22)</f>
        <v>51</v>
      </c>
      <c r="W25" s="35">
        <f t="shared" si="16"/>
        <v>828</v>
      </c>
      <c r="X25" s="35">
        <f t="shared" si="16"/>
        <v>828</v>
      </c>
      <c r="Y25" s="35">
        <f t="shared" ref="Y25:AF25" si="17">SUM(Y3:Y22)</f>
        <v>0</v>
      </c>
      <c r="Z25" s="35">
        <f t="shared" si="17"/>
        <v>0</v>
      </c>
      <c r="AA25" s="35">
        <f t="shared" si="17"/>
        <v>0</v>
      </c>
      <c r="AB25" s="35">
        <f t="shared" si="17"/>
        <v>0</v>
      </c>
      <c r="AC25" s="35">
        <f t="shared" si="17"/>
        <v>0</v>
      </c>
      <c r="AD25" s="35">
        <f t="shared" si="17"/>
        <v>0</v>
      </c>
      <c r="AE25" s="35">
        <f t="shared" si="17"/>
        <v>0</v>
      </c>
      <c r="AF25" s="35">
        <f t="shared" si="17"/>
        <v>0</v>
      </c>
      <c r="AG25" s="3"/>
      <c r="AH25" s="3"/>
      <c r="AI25" s="3"/>
      <c r="A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>
      <c r="A27" s="3"/>
      <c r="B27" s="13" t="s">
        <v>56</v>
      </c>
      <c r="C27" s="3"/>
      <c r="D27" s="3"/>
      <c r="E27" s="3"/>
      <c r="F27" s="3"/>
      <c r="G27" s="13" t="s">
        <v>57</v>
      </c>
      <c r="H27" s="38">
        <f>H25+I25+M25+U25+W25+AE25+L25</f>
        <v>1259</v>
      </c>
      <c r="I27" s="3"/>
      <c r="J27" s="13" t="s">
        <v>58</v>
      </c>
      <c r="K27" s="13"/>
      <c r="L27" s="38">
        <f>SUM(F25+G25)</f>
        <v>4409</v>
      </c>
      <c r="M27" s="3"/>
      <c r="N27" s="13" t="s">
        <v>59</v>
      </c>
      <c r="O27" s="38">
        <f>J25+AC25</f>
        <v>8.5</v>
      </c>
      <c r="P27" s="3"/>
      <c r="Q27" s="3"/>
      <c r="R27" s="3"/>
      <c r="S27" s="3"/>
      <c r="T27" s="3"/>
      <c r="U27" s="3"/>
      <c r="V27" s="3"/>
      <c r="W27" s="3"/>
      <c r="X27" s="3"/>
      <c r="Y27" s="41">
        <f t="shared" ref="Y27:Z27" si="18">SUM(Y25,AA25,AC25,AE25)</f>
        <v>0</v>
      </c>
      <c r="Z27" s="38">
        <f t="shared" si="18"/>
        <v>0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>
      <c r="A28" s="2" t="s">
        <v>16</v>
      </c>
      <c r="B28" s="2" t="s">
        <v>1</v>
      </c>
      <c r="C28" s="2" t="s">
        <v>61</v>
      </c>
      <c r="D28" s="2" t="s">
        <v>62</v>
      </c>
      <c r="E28" s="2" t="s">
        <v>63</v>
      </c>
      <c r="F28" s="3"/>
      <c r="G28" s="13" t="s">
        <v>64</v>
      </c>
      <c r="H28" s="13" t="s">
        <v>65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>
      <c r="A29" s="10"/>
      <c r="B29" s="31"/>
      <c r="C29" s="24" t="s">
        <v>66</v>
      </c>
      <c r="D29" s="10"/>
      <c r="E29" s="10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13" t="s">
        <v>67</v>
      </c>
      <c r="X29" s="38">
        <f>X25+V25</f>
        <v>879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10"/>
      <c r="B30" s="31"/>
      <c r="C30" s="24" t="s">
        <v>66</v>
      </c>
      <c r="D30" s="10"/>
      <c r="E30" s="10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13" t="s">
        <v>68</v>
      </c>
      <c r="X30" s="38">
        <f>W25+U25</f>
        <v>883.5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10"/>
      <c r="B31" s="31"/>
      <c r="C31" s="24" t="s">
        <v>66</v>
      </c>
      <c r="D31" s="10"/>
      <c r="E31" s="10"/>
      <c r="F31" s="3"/>
      <c r="G31" s="42">
        <f>SUM(F19:L19)</f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10"/>
      <c r="B32" s="31"/>
      <c r="C32" s="24" t="s">
        <v>66</v>
      </c>
      <c r="D32" s="10"/>
      <c r="E32" s="10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10"/>
      <c r="B33" s="31"/>
      <c r="C33" s="10"/>
      <c r="D33" s="7">
        <f>E33*20</f>
        <v>0</v>
      </c>
      <c r="E33" s="1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10"/>
      <c r="B34" s="31"/>
      <c r="C34" s="10"/>
      <c r="D34" s="10"/>
      <c r="E34" s="1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>
      <c r="A35" s="10"/>
      <c r="B35" s="31"/>
      <c r="C35" s="10"/>
      <c r="D35" s="10"/>
      <c r="E35" s="1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>
      <c r="A36" s="10"/>
      <c r="B36" s="31"/>
      <c r="C36" s="10"/>
      <c r="D36" s="10"/>
      <c r="E36" s="1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>
      <c r="A37" s="10"/>
      <c r="B37" s="31"/>
      <c r="C37" s="10"/>
      <c r="D37" s="10"/>
      <c r="E37" s="1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10"/>
      <c r="B38" s="31"/>
      <c r="C38" s="10"/>
      <c r="D38" s="10"/>
      <c r="E38" s="1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10"/>
      <c r="B39" s="31"/>
      <c r="C39" s="10"/>
      <c r="D39" s="10"/>
      <c r="E39" s="10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10"/>
      <c r="B40" s="31"/>
      <c r="C40" s="10"/>
      <c r="D40" s="10"/>
      <c r="E40" s="10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>
      <c r="A41" s="10"/>
      <c r="B41" s="31"/>
      <c r="C41" s="10"/>
      <c r="D41" s="10"/>
      <c r="E41" s="10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10"/>
      <c r="B42" s="31"/>
      <c r="C42" s="10"/>
      <c r="D42" s="10"/>
      <c r="E42" s="1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3"/>
      <c r="B52" s="3"/>
      <c r="C52" s="3"/>
      <c r="D52" s="3"/>
      <c r="E52" s="3"/>
      <c r="F52" s="3"/>
      <c r="G52" s="3"/>
      <c r="H52" s="3"/>
      <c r="I52" s="42">
        <v>2370000.0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3"/>
      <c r="B53" s="3"/>
      <c r="C53" s="3"/>
      <c r="D53" s="3"/>
      <c r="E53" s="3"/>
      <c r="F53" s="3"/>
      <c r="G53" s="3"/>
      <c r="H53" s="3"/>
      <c r="I53" s="42">
        <v>484000.0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3"/>
      <c r="B54" s="3"/>
      <c r="C54" s="3"/>
      <c r="D54" s="3"/>
      <c r="E54" s="3"/>
      <c r="F54" s="3"/>
      <c r="G54" s="4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3"/>
      <c r="B55" s="3"/>
      <c r="C55" s="3"/>
      <c r="D55" s="3"/>
      <c r="E55" s="3"/>
      <c r="F55" s="3"/>
      <c r="G55" s="3"/>
      <c r="H55" s="3"/>
      <c r="I55" s="3">
        <f>I52+I53</f>
        <v>2854000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</row>
  </sheetData>
  <mergeCells count="1">
    <mergeCell ref="A25:D25"/>
  </mergeCells>
  <dataValidations>
    <dataValidation type="list" allowBlank="1" showErrorMessage="1" sqref="C29:C42">
      <formula1>"Palet,Carrete de Madera,Carrete Plástico,Tambores 120 lts"</formula1>
    </dataValidation>
    <dataValidation type="list" allowBlank="1" showErrorMessage="1" sqref="C2:C24">
      <formula1>"AREAS PRODUCTIVAS,bod, Apd, Ácido,puntos verdes y HSEC"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30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 t="s">
        <v>32</v>
      </c>
      <c r="R1" s="1" t="s">
        <v>33</v>
      </c>
      <c r="S1" s="2" t="s">
        <v>15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3"/>
      <c r="AH1" s="3"/>
      <c r="AI1" s="3"/>
      <c r="AJ1" s="3"/>
    </row>
    <row r="2">
      <c r="A2" s="4">
        <v>93.0</v>
      </c>
      <c r="B2" s="5">
        <v>46237.0</v>
      </c>
      <c r="C2" s="6" t="s">
        <v>41</v>
      </c>
      <c r="D2" s="7" t="s">
        <v>40</v>
      </c>
      <c r="E2" s="4">
        <v>1060.0</v>
      </c>
      <c r="F2" s="8"/>
      <c r="G2" s="9"/>
      <c r="H2" s="9"/>
      <c r="I2" s="9"/>
      <c r="J2" s="9"/>
      <c r="K2" s="9"/>
      <c r="L2" s="10"/>
      <c r="M2" s="7">
        <f t="shared" ref="M2:M8" si="1">N2*10</f>
        <v>0</v>
      </c>
      <c r="N2" s="10"/>
      <c r="O2" s="7">
        <f t="shared" ref="O2:O26" si="2">P2*20</f>
        <v>360</v>
      </c>
      <c r="P2" s="4">
        <v>18.0</v>
      </c>
      <c r="Q2" s="7">
        <f t="shared" ref="Q2:Q26" si="3">(R2*20)</f>
        <v>20</v>
      </c>
      <c r="R2" s="4">
        <v>1.0</v>
      </c>
      <c r="S2" s="7">
        <f t="shared" ref="S2:S26" si="4">T2*5.5</f>
        <v>170.5</v>
      </c>
      <c r="T2" s="4">
        <v>31.0</v>
      </c>
      <c r="U2" s="7">
        <f t="shared" ref="U2:U26" si="5">V2*1.5</f>
        <v>0</v>
      </c>
      <c r="V2" s="9"/>
      <c r="W2" s="7">
        <f t="shared" ref="W2:W26" si="6">X2*1</f>
        <v>509</v>
      </c>
      <c r="X2" s="4">
        <v>509.0</v>
      </c>
      <c r="Y2" s="7">
        <f t="shared" ref="Y2:Y14" si="7">Z2*1.4</f>
        <v>0</v>
      </c>
      <c r="Z2" s="10"/>
      <c r="AA2" s="7"/>
      <c r="AB2" s="10"/>
      <c r="AC2" s="7"/>
      <c r="AD2" s="7"/>
      <c r="AE2" s="7"/>
      <c r="AF2" s="10"/>
      <c r="AG2" s="13"/>
      <c r="AH2" s="3"/>
      <c r="AI2" s="3"/>
      <c r="AJ2" s="3"/>
    </row>
    <row r="3">
      <c r="A3" s="4">
        <v>95.0</v>
      </c>
      <c r="B3" s="5">
        <v>46238.0</v>
      </c>
      <c r="C3" s="6" t="s">
        <v>39</v>
      </c>
      <c r="D3" s="7" t="s">
        <v>40</v>
      </c>
      <c r="E3" s="4">
        <v>750.0</v>
      </c>
      <c r="F3" s="4">
        <f>E3-G3-H3-I3-J3-L3</f>
        <v>669.5</v>
      </c>
      <c r="G3" s="9">
        <v>70.0</v>
      </c>
      <c r="H3" s="9">
        <v>3.5</v>
      </c>
      <c r="I3" s="9">
        <v>5.5</v>
      </c>
      <c r="J3" s="9">
        <v>0.5</v>
      </c>
      <c r="K3" s="9"/>
      <c r="L3" s="9">
        <v>1.0</v>
      </c>
      <c r="M3" s="7">
        <f t="shared" si="1"/>
        <v>0</v>
      </c>
      <c r="N3" s="10"/>
      <c r="O3" s="7">
        <f t="shared" si="2"/>
        <v>0</v>
      </c>
      <c r="P3" s="4"/>
      <c r="Q3" s="7">
        <f t="shared" si="3"/>
        <v>0</v>
      </c>
      <c r="R3" s="4"/>
      <c r="S3" s="7">
        <f t="shared" si="4"/>
        <v>0</v>
      </c>
      <c r="T3" s="4"/>
      <c r="U3" s="7">
        <f t="shared" si="5"/>
        <v>0</v>
      </c>
      <c r="V3" s="9"/>
      <c r="W3" s="7">
        <f t="shared" si="6"/>
        <v>0</v>
      </c>
      <c r="X3" s="4"/>
      <c r="Y3" s="7">
        <f t="shared" si="7"/>
        <v>0</v>
      </c>
      <c r="Z3" s="10"/>
      <c r="AA3" s="7">
        <f t="shared" ref="AA3:AA26" si="8">AB3*1.2</f>
        <v>0</v>
      </c>
      <c r="AB3" s="10"/>
      <c r="AC3" s="7">
        <f>AD3*16</f>
        <v>0</v>
      </c>
      <c r="AD3" s="7">
        <v>0.0</v>
      </c>
      <c r="AE3" s="7">
        <f t="shared" ref="AE3:AE26" si="9">AF3*2.275</f>
        <v>0</v>
      </c>
      <c r="AF3" s="10"/>
      <c r="AG3" s="13"/>
      <c r="AH3" s="3"/>
      <c r="AI3" s="3"/>
      <c r="AJ3" s="3"/>
    </row>
    <row r="4">
      <c r="A4" s="4">
        <v>97.0</v>
      </c>
      <c r="B4" s="5">
        <v>46239.0</v>
      </c>
      <c r="C4" s="6" t="s">
        <v>41</v>
      </c>
      <c r="D4" s="7" t="s">
        <v>40</v>
      </c>
      <c r="E4" s="4">
        <f t="shared" ref="E4:E5" si="10">M4+O4+Q4+S4+U4+W4+Y4+AA4+AC4+AE4</f>
        <v>1210</v>
      </c>
      <c r="F4" s="30"/>
      <c r="G4" s="4"/>
      <c r="H4" s="4"/>
      <c r="I4" s="4"/>
      <c r="J4" s="4"/>
      <c r="K4" s="7"/>
      <c r="L4" s="9"/>
      <c r="M4" s="7">
        <f t="shared" si="1"/>
        <v>0</v>
      </c>
      <c r="N4" s="10"/>
      <c r="O4" s="7">
        <f t="shared" si="2"/>
        <v>600</v>
      </c>
      <c r="P4" s="9">
        <v>30.0</v>
      </c>
      <c r="Q4" s="7">
        <f t="shared" si="3"/>
        <v>610</v>
      </c>
      <c r="R4" s="4">
        <v>30.5</v>
      </c>
      <c r="S4" s="7">
        <f t="shared" si="4"/>
        <v>0</v>
      </c>
      <c r="T4" s="12"/>
      <c r="U4" s="7">
        <f t="shared" si="5"/>
        <v>0</v>
      </c>
      <c r="V4" s="12"/>
      <c r="W4" s="7">
        <f t="shared" si="6"/>
        <v>0</v>
      </c>
      <c r="X4" s="12"/>
      <c r="Y4" s="7">
        <f t="shared" si="7"/>
        <v>0</v>
      </c>
      <c r="Z4" s="10"/>
      <c r="AA4" s="7">
        <f t="shared" si="8"/>
        <v>0</v>
      </c>
      <c r="AB4" s="10"/>
      <c r="AC4" s="7">
        <v>0.0</v>
      </c>
      <c r="AD4" s="10"/>
      <c r="AE4" s="7">
        <f t="shared" si="9"/>
        <v>0</v>
      </c>
      <c r="AF4" s="10"/>
      <c r="AG4" s="3"/>
      <c r="AH4" s="3"/>
      <c r="AI4" s="3"/>
      <c r="AJ4" s="3"/>
    </row>
    <row r="5">
      <c r="A5" s="43">
        <v>301.0</v>
      </c>
      <c r="B5" s="5">
        <v>46240.0</v>
      </c>
      <c r="C5" s="44" t="s">
        <v>41</v>
      </c>
      <c r="D5" s="45" t="s">
        <v>40</v>
      </c>
      <c r="E5" s="4">
        <f t="shared" si="10"/>
        <v>0</v>
      </c>
      <c r="F5" s="8"/>
      <c r="G5" s="46"/>
      <c r="H5" s="46"/>
      <c r="I5" s="46"/>
      <c r="J5" s="46"/>
      <c r="K5" s="46"/>
      <c r="L5" s="46"/>
      <c r="M5" s="45">
        <f t="shared" si="1"/>
        <v>0</v>
      </c>
      <c r="N5" s="47"/>
      <c r="O5" s="45">
        <f t="shared" si="2"/>
        <v>0</v>
      </c>
      <c r="P5" s="48"/>
      <c r="Q5" s="45">
        <f t="shared" si="3"/>
        <v>0</v>
      </c>
      <c r="R5" s="48"/>
      <c r="S5" s="45">
        <f t="shared" si="4"/>
        <v>0</v>
      </c>
      <c r="T5" s="48"/>
      <c r="U5" s="7">
        <f t="shared" si="5"/>
        <v>0</v>
      </c>
      <c r="V5" s="48"/>
      <c r="W5" s="7">
        <f t="shared" si="6"/>
        <v>0</v>
      </c>
      <c r="X5" s="48"/>
      <c r="Y5" s="45">
        <f t="shared" si="7"/>
        <v>0</v>
      </c>
      <c r="Z5" s="47"/>
      <c r="AA5" s="45">
        <f t="shared" si="8"/>
        <v>0</v>
      </c>
      <c r="AB5" s="47"/>
      <c r="AC5" s="45">
        <f t="shared" ref="AC5:AC26" si="11">AD5*16</f>
        <v>0</v>
      </c>
      <c r="AD5" s="47"/>
      <c r="AE5" s="45">
        <f t="shared" si="9"/>
        <v>0</v>
      </c>
      <c r="AF5" s="47"/>
      <c r="AG5" s="22"/>
      <c r="AH5" s="22"/>
      <c r="AI5" s="22"/>
      <c r="AJ5" s="22"/>
    </row>
    <row r="6">
      <c r="A6" s="23">
        <v>303.0</v>
      </c>
      <c r="B6" s="5">
        <v>46241.0</v>
      </c>
      <c r="C6" s="6" t="s">
        <v>39</v>
      </c>
      <c r="D6" s="7" t="s">
        <v>40</v>
      </c>
      <c r="E6" s="4">
        <v>730.0</v>
      </c>
      <c r="F6" s="4">
        <f>E6-G6-H6-I6-J6-L6</f>
        <v>691.5</v>
      </c>
      <c r="G6" s="9">
        <v>4.0</v>
      </c>
      <c r="H6" s="9">
        <v>1.5</v>
      </c>
      <c r="I6" s="9">
        <v>33.0</v>
      </c>
      <c r="J6" s="9"/>
      <c r="K6" s="10"/>
      <c r="L6" s="9"/>
      <c r="M6" s="7">
        <f t="shared" si="1"/>
        <v>0</v>
      </c>
      <c r="N6" s="12"/>
      <c r="O6" s="7">
        <f t="shared" si="2"/>
        <v>0</v>
      </c>
      <c r="P6" s="23"/>
      <c r="Q6" s="7">
        <f t="shared" si="3"/>
        <v>0</v>
      </c>
      <c r="R6" s="4"/>
      <c r="S6" s="7">
        <f t="shared" si="4"/>
        <v>0</v>
      </c>
      <c r="T6" s="12"/>
      <c r="U6" s="7">
        <f t="shared" si="5"/>
        <v>0</v>
      </c>
      <c r="V6" s="12"/>
      <c r="W6" s="7">
        <f t="shared" si="6"/>
        <v>0</v>
      </c>
      <c r="X6" s="12"/>
      <c r="Y6" s="7">
        <f t="shared" si="7"/>
        <v>0</v>
      </c>
      <c r="Z6" s="10"/>
      <c r="AA6" s="7">
        <f t="shared" si="8"/>
        <v>0</v>
      </c>
      <c r="AB6" s="10"/>
      <c r="AC6" s="7">
        <f t="shared" si="11"/>
        <v>0</v>
      </c>
      <c r="AD6" s="10"/>
      <c r="AE6" s="7">
        <f t="shared" si="9"/>
        <v>0</v>
      </c>
      <c r="AF6" s="10"/>
      <c r="AG6" s="3"/>
      <c r="AH6" s="3"/>
      <c r="AI6" s="3"/>
      <c r="AJ6" s="3"/>
    </row>
    <row r="7">
      <c r="A7" s="23">
        <v>305.0</v>
      </c>
      <c r="B7" s="5">
        <v>46244.0</v>
      </c>
      <c r="C7" s="6" t="s">
        <v>41</v>
      </c>
      <c r="D7" s="7" t="s">
        <v>40</v>
      </c>
      <c r="E7" s="4">
        <v>1170.0</v>
      </c>
      <c r="F7" s="8"/>
      <c r="G7" s="9"/>
      <c r="H7" s="4"/>
      <c r="I7" s="4"/>
      <c r="J7" s="4"/>
      <c r="K7" s="4"/>
      <c r="L7" s="9"/>
      <c r="M7" s="7">
        <f t="shared" si="1"/>
        <v>0</v>
      </c>
      <c r="N7" s="10"/>
      <c r="O7" s="7">
        <f t="shared" si="2"/>
        <v>500</v>
      </c>
      <c r="P7" s="12">
        <v>25.0</v>
      </c>
      <c r="Q7" s="7">
        <f t="shared" si="3"/>
        <v>200</v>
      </c>
      <c r="R7" s="4">
        <v>10.0</v>
      </c>
      <c r="S7" s="7">
        <f t="shared" si="4"/>
        <v>132</v>
      </c>
      <c r="T7" s="9">
        <v>24.0</v>
      </c>
      <c r="U7" s="7">
        <f t="shared" si="5"/>
        <v>12</v>
      </c>
      <c r="V7" s="9">
        <v>8.0</v>
      </c>
      <c r="W7" s="7">
        <f t="shared" si="6"/>
        <v>321</v>
      </c>
      <c r="X7" s="9">
        <v>321.0</v>
      </c>
      <c r="Y7" s="7">
        <f t="shared" si="7"/>
        <v>0</v>
      </c>
      <c r="Z7" s="10"/>
      <c r="AA7" s="7">
        <f t="shared" si="8"/>
        <v>0</v>
      </c>
      <c r="AB7" s="10"/>
      <c r="AC7" s="7">
        <f t="shared" si="11"/>
        <v>0</v>
      </c>
      <c r="AD7" s="10"/>
      <c r="AE7" s="7">
        <f t="shared" si="9"/>
        <v>0</v>
      </c>
      <c r="AF7" s="10"/>
      <c r="AG7" s="3"/>
      <c r="AH7" s="3"/>
      <c r="AI7" s="3"/>
      <c r="AJ7" s="3"/>
    </row>
    <row r="8">
      <c r="A8" s="23">
        <v>307.0</v>
      </c>
      <c r="B8" s="5">
        <v>46245.0</v>
      </c>
      <c r="C8" s="6" t="s">
        <v>39</v>
      </c>
      <c r="D8" s="7" t="s">
        <v>40</v>
      </c>
      <c r="E8" s="4">
        <v>500.0</v>
      </c>
      <c r="F8" s="4">
        <f>E8-G8-H8-I8-J8-L8</f>
        <v>420</v>
      </c>
      <c r="G8" s="26">
        <v>71.0</v>
      </c>
      <c r="H8" s="12">
        <v>2.0</v>
      </c>
      <c r="I8" s="12">
        <v>5.5</v>
      </c>
      <c r="J8" s="12"/>
      <c r="K8" s="12"/>
      <c r="L8" s="12">
        <v>1.5</v>
      </c>
      <c r="M8" s="7">
        <f t="shared" si="1"/>
        <v>0</v>
      </c>
      <c r="N8" s="10"/>
      <c r="O8" s="7">
        <f t="shared" si="2"/>
        <v>0</v>
      </c>
      <c r="P8" s="4"/>
      <c r="Q8" s="7">
        <f t="shared" si="3"/>
        <v>0</v>
      </c>
      <c r="R8" s="4"/>
      <c r="S8" s="7">
        <f t="shared" si="4"/>
        <v>0</v>
      </c>
      <c r="T8" s="4"/>
      <c r="U8" s="7">
        <f t="shared" si="5"/>
        <v>0</v>
      </c>
      <c r="V8" s="4"/>
      <c r="W8" s="7">
        <f t="shared" si="6"/>
        <v>0</v>
      </c>
      <c r="X8" s="4"/>
      <c r="Y8" s="7">
        <f t="shared" si="7"/>
        <v>0</v>
      </c>
      <c r="Z8" s="10"/>
      <c r="AA8" s="7">
        <f t="shared" si="8"/>
        <v>0</v>
      </c>
      <c r="AB8" s="10"/>
      <c r="AC8" s="7">
        <f t="shared" si="11"/>
        <v>0</v>
      </c>
      <c r="AD8" s="10"/>
      <c r="AE8" s="7">
        <f t="shared" si="9"/>
        <v>0</v>
      </c>
      <c r="AF8" s="10"/>
      <c r="AG8" s="3"/>
      <c r="AH8" s="3"/>
      <c r="AI8" s="3"/>
      <c r="AJ8" s="3"/>
    </row>
    <row r="9">
      <c r="A9" s="43">
        <v>309.0</v>
      </c>
      <c r="B9" s="5">
        <v>46246.0</v>
      </c>
      <c r="C9" s="6" t="s">
        <v>41</v>
      </c>
      <c r="D9" s="7" t="s">
        <v>40</v>
      </c>
      <c r="E9" s="4">
        <f>M9+O9+Q9+S9+U9+W9+Y9+AA9+AC9+AE9</f>
        <v>1030</v>
      </c>
      <c r="F9" s="30"/>
      <c r="G9" s="4"/>
      <c r="H9" s="4"/>
      <c r="I9" s="4"/>
      <c r="J9" s="4"/>
      <c r="K9" s="4"/>
      <c r="L9" s="4"/>
      <c r="M9" s="7"/>
      <c r="N9" s="10"/>
      <c r="O9" s="7">
        <f t="shared" si="2"/>
        <v>300</v>
      </c>
      <c r="P9" s="12">
        <v>15.0</v>
      </c>
      <c r="Q9" s="7">
        <f t="shared" si="3"/>
        <v>730</v>
      </c>
      <c r="R9" s="4">
        <v>36.5</v>
      </c>
      <c r="S9" s="7">
        <f t="shared" si="4"/>
        <v>0</v>
      </c>
      <c r="T9" s="12"/>
      <c r="U9" s="7">
        <f t="shared" si="5"/>
        <v>0</v>
      </c>
      <c r="V9" s="12"/>
      <c r="W9" s="7">
        <f t="shared" si="6"/>
        <v>0</v>
      </c>
      <c r="X9" s="12"/>
      <c r="Y9" s="7">
        <f t="shared" si="7"/>
        <v>0</v>
      </c>
      <c r="Z9" s="10"/>
      <c r="AA9" s="7">
        <f t="shared" si="8"/>
        <v>0</v>
      </c>
      <c r="AB9" s="10"/>
      <c r="AC9" s="7">
        <f t="shared" si="11"/>
        <v>0</v>
      </c>
      <c r="AD9" s="10"/>
      <c r="AE9" s="7">
        <f t="shared" si="9"/>
        <v>0</v>
      </c>
      <c r="AF9" s="10"/>
      <c r="AG9" s="3"/>
      <c r="AH9" s="3"/>
      <c r="AI9" s="3"/>
      <c r="AJ9" s="3"/>
    </row>
    <row r="10">
      <c r="A10" s="43">
        <v>313.0</v>
      </c>
      <c r="B10" s="5">
        <v>46248.0</v>
      </c>
      <c r="C10" s="6" t="s">
        <v>39</v>
      </c>
      <c r="D10" s="7" t="s">
        <v>40</v>
      </c>
      <c r="E10" s="4">
        <v>350.0</v>
      </c>
      <c r="F10" s="4">
        <f>E10-G10-H10-I10-J10-L10</f>
        <v>314</v>
      </c>
      <c r="G10" s="23">
        <v>2.0</v>
      </c>
      <c r="H10" s="23">
        <v>4.0</v>
      </c>
      <c r="I10" s="23">
        <v>24.0</v>
      </c>
      <c r="J10" s="23">
        <v>2.0</v>
      </c>
      <c r="K10" s="23"/>
      <c r="L10" s="9">
        <v>4.0</v>
      </c>
      <c r="M10" s="7">
        <f t="shared" ref="M10:M26" si="12">N10*10</f>
        <v>0</v>
      </c>
      <c r="N10" s="10"/>
      <c r="O10" s="7">
        <f t="shared" si="2"/>
        <v>0</v>
      </c>
      <c r="P10" s="12"/>
      <c r="Q10" s="7">
        <f t="shared" si="3"/>
        <v>0</v>
      </c>
      <c r="R10" s="4"/>
      <c r="S10" s="7">
        <f t="shared" si="4"/>
        <v>0</v>
      </c>
      <c r="T10" s="9"/>
      <c r="U10" s="7">
        <f t="shared" si="5"/>
        <v>0</v>
      </c>
      <c r="V10" s="9"/>
      <c r="W10" s="7">
        <f t="shared" si="6"/>
        <v>0</v>
      </c>
      <c r="X10" s="9"/>
      <c r="Y10" s="7">
        <f t="shared" si="7"/>
        <v>0</v>
      </c>
      <c r="Z10" s="10"/>
      <c r="AA10" s="7">
        <f t="shared" si="8"/>
        <v>0</v>
      </c>
      <c r="AB10" s="10"/>
      <c r="AC10" s="7">
        <f t="shared" si="11"/>
        <v>0</v>
      </c>
      <c r="AD10" s="10"/>
      <c r="AE10" s="7">
        <f t="shared" si="9"/>
        <v>0</v>
      </c>
      <c r="AF10" s="10"/>
      <c r="AG10" s="3"/>
      <c r="AH10" s="3"/>
      <c r="AI10" s="3"/>
      <c r="AJ10" s="3"/>
    </row>
    <row r="11" ht="16.5" customHeight="1">
      <c r="A11" s="23"/>
      <c r="B11" s="5">
        <v>46248.0</v>
      </c>
      <c r="C11" s="6" t="s">
        <v>39</v>
      </c>
      <c r="D11" s="7" t="s">
        <v>40</v>
      </c>
      <c r="E11" s="4"/>
      <c r="F11" s="30"/>
      <c r="G11" s="26"/>
      <c r="H11" s="12"/>
      <c r="I11" s="12"/>
      <c r="J11" s="9"/>
      <c r="K11" s="10"/>
      <c r="L11" s="9"/>
      <c r="M11" s="7">
        <f t="shared" si="12"/>
        <v>0</v>
      </c>
      <c r="N11" s="10"/>
      <c r="O11" s="7">
        <f t="shared" si="2"/>
        <v>0</v>
      </c>
      <c r="P11" s="23"/>
      <c r="Q11" s="7">
        <f t="shared" si="3"/>
        <v>0</v>
      </c>
      <c r="R11" s="4"/>
      <c r="S11" s="7">
        <f t="shared" si="4"/>
        <v>0</v>
      </c>
      <c r="T11" s="23"/>
      <c r="U11" s="7">
        <f t="shared" si="5"/>
        <v>0</v>
      </c>
      <c r="V11" s="23"/>
      <c r="W11" s="7">
        <f t="shared" si="6"/>
        <v>0</v>
      </c>
      <c r="X11" s="23"/>
      <c r="Y11" s="7">
        <f t="shared" si="7"/>
        <v>0</v>
      </c>
      <c r="Z11" s="10"/>
      <c r="AA11" s="7">
        <f t="shared" si="8"/>
        <v>0</v>
      </c>
      <c r="AB11" s="10"/>
      <c r="AC11" s="7">
        <f t="shared" si="11"/>
        <v>0</v>
      </c>
      <c r="AD11" s="10"/>
      <c r="AE11" s="7">
        <f t="shared" si="9"/>
        <v>0</v>
      </c>
      <c r="AF11" s="9"/>
      <c r="AG11" s="3"/>
      <c r="AH11" s="3"/>
      <c r="AI11" s="3"/>
      <c r="AJ11" s="3"/>
    </row>
    <row r="12">
      <c r="A12" s="43"/>
      <c r="B12" s="5">
        <v>46249.0</v>
      </c>
      <c r="C12" s="6" t="s">
        <v>41</v>
      </c>
      <c r="D12" s="7" t="s">
        <v>40</v>
      </c>
      <c r="E12" s="4"/>
      <c r="F12" s="8"/>
      <c r="G12" s="23"/>
      <c r="H12" s="23"/>
      <c r="I12" s="23"/>
      <c r="J12" s="9"/>
      <c r="K12" s="10"/>
      <c r="L12" s="9"/>
      <c r="M12" s="7">
        <f t="shared" si="12"/>
        <v>0</v>
      </c>
      <c r="N12" s="10"/>
      <c r="O12" s="7">
        <f t="shared" si="2"/>
        <v>0</v>
      </c>
      <c r="P12" s="12"/>
      <c r="Q12" s="7">
        <f t="shared" si="3"/>
        <v>0</v>
      </c>
      <c r="R12" s="4"/>
      <c r="S12" s="7">
        <f t="shared" si="4"/>
        <v>0</v>
      </c>
      <c r="T12" s="12"/>
      <c r="U12" s="7">
        <f t="shared" si="5"/>
        <v>13.5</v>
      </c>
      <c r="V12" s="9">
        <v>9.0</v>
      </c>
      <c r="W12" s="7">
        <f t="shared" si="6"/>
        <v>0</v>
      </c>
      <c r="X12" s="12"/>
      <c r="Y12" s="7">
        <f t="shared" si="7"/>
        <v>0</v>
      </c>
      <c r="Z12" s="10"/>
      <c r="AA12" s="7">
        <f t="shared" si="8"/>
        <v>0</v>
      </c>
      <c r="AB12" s="10"/>
      <c r="AC12" s="7">
        <f t="shared" si="11"/>
        <v>0</v>
      </c>
      <c r="AD12" s="10"/>
      <c r="AE12" s="7">
        <f t="shared" si="9"/>
        <v>0</v>
      </c>
      <c r="AF12" s="10"/>
      <c r="AG12" s="3"/>
      <c r="AH12" s="3"/>
      <c r="AI12" s="3"/>
      <c r="AJ12" s="3"/>
    </row>
    <row r="13">
      <c r="A13" s="23">
        <v>318.0</v>
      </c>
      <c r="B13" s="5">
        <v>46252.0</v>
      </c>
      <c r="C13" s="44" t="s">
        <v>39</v>
      </c>
      <c r="D13" s="7" t="s">
        <v>40</v>
      </c>
      <c r="E13" s="4">
        <v>540.0</v>
      </c>
      <c r="F13" s="4">
        <f>E13-G13-H13-I13-J13-L13</f>
        <v>529.5</v>
      </c>
      <c r="G13" s="12">
        <v>4.0</v>
      </c>
      <c r="H13" s="12">
        <v>2.0</v>
      </c>
      <c r="I13" s="12">
        <v>3.0</v>
      </c>
      <c r="J13" s="12">
        <v>0.5</v>
      </c>
      <c r="K13" s="12"/>
      <c r="L13" s="9">
        <v>1.0</v>
      </c>
      <c r="M13" s="7">
        <f t="shared" si="12"/>
        <v>0</v>
      </c>
      <c r="N13" s="10"/>
      <c r="O13" s="7">
        <f t="shared" si="2"/>
        <v>0</v>
      </c>
      <c r="P13" s="4"/>
      <c r="Q13" s="7">
        <f t="shared" si="3"/>
        <v>0</v>
      </c>
      <c r="R13" s="4"/>
      <c r="S13" s="7">
        <f t="shared" si="4"/>
        <v>0</v>
      </c>
      <c r="T13" s="7"/>
      <c r="U13" s="7">
        <f t="shared" si="5"/>
        <v>0</v>
      </c>
      <c r="V13" s="7"/>
      <c r="W13" s="7">
        <f t="shared" si="6"/>
        <v>0</v>
      </c>
      <c r="X13" s="10"/>
      <c r="Y13" s="7">
        <f t="shared" si="7"/>
        <v>0</v>
      </c>
      <c r="Z13" s="10"/>
      <c r="AA13" s="7">
        <f t="shared" si="8"/>
        <v>0</v>
      </c>
      <c r="AB13" s="10"/>
      <c r="AC13" s="7">
        <f t="shared" si="11"/>
        <v>0</v>
      </c>
      <c r="AD13" s="10"/>
      <c r="AE13" s="7">
        <f t="shared" si="9"/>
        <v>0</v>
      </c>
      <c r="AF13" s="10"/>
      <c r="AG13" s="3"/>
      <c r="AH13" s="3"/>
      <c r="AI13" s="3"/>
      <c r="AJ13" s="3"/>
    </row>
    <row r="14" ht="15.75" customHeight="1">
      <c r="A14" s="55">
        <v>320.0</v>
      </c>
      <c r="B14" s="5">
        <v>46253.0</v>
      </c>
      <c r="C14" s="6" t="s">
        <v>41</v>
      </c>
      <c r="D14" s="7" t="s">
        <v>40</v>
      </c>
      <c r="E14" s="4">
        <v>1150.0</v>
      </c>
      <c r="F14" s="8"/>
      <c r="G14" s="9"/>
      <c r="H14" s="9"/>
      <c r="I14" s="9"/>
      <c r="J14" s="9"/>
      <c r="K14" s="10"/>
      <c r="L14" s="9"/>
      <c r="M14" s="7">
        <f t="shared" si="12"/>
        <v>0</v>
      </c>
      <c r="N14" s="10"/>
      <c r="O14" s="7">
        <f t="shared" si="2"/>
        <v>560</v>
      </c>
      <c r="P14" s="12">
        <v>28.0</v>
      </c>
      <c r="Q14" s="7">
        <f t="shared" si="3"/>
        <v>210</v>
      </c>
      <c r="R14" s="4">
        <v>10.5</v>
      </c>
      <c r="S14" s="7">
        <f t="shared" si="4"/>
        <v>198</v>
      </c>
      <c r="T14" s="9">
        <v>36.0</v>
      </c>
      <c r="U14" s="7">
        <f t="shared" si="5"/>
        <v>27</v>
      </c>
      <c r="V14" s="9">
        <v>18.0</v>
      </c>
      <c r="W14" s="7">
        <f t="shared" si="6"/>
        <v>152</v>
      </c>
      <c r="X14" s="9">
        <v>152.0</v>
      </c>
      <c r="Y14" s="7">
        <f t="shared" si="7"/>
        <v>0</v>
      </c>
      <c r="Z14" s="10"/>
      <c r="AA14" s="7">
        <f t="shared" si="8"/>
        <v>0</v>
      </c>
      <c r="AB14" s="10"/>
      <c r="AC14" s="7">
        <f t="shared" si="11"/>
        <v>0</v>
      </c>
      <c r="AD14" s="10"/>
      <c r="AE14" s="7">
        <f t="shared" si="9"/>
        <v>0</v>
      </c>
      <c r="AF14" s="10"/>
      <c r="AG14" s="3"/>
      <c r="AH14" s="3"/>
      <c r="AI14" s="3"/>
      <c r="AJ14" s="3"/>
    </row>
    <row r="15">
      <c r="A15" s="23">
        <v>322.0</v>
      </c>
      <c r="B15" s="5">
        <v>46254.0</v>
      </c>
      <c r="C15" s="6" t="s">
        <v>41</v>
      </c>
      <c r="D15" s="7" t="s">
        <v>40</v>
      </c>
      <c r="E15" s="4">
        <v>740.0</v>
      </c>
      <c r="F15" s="8"/>
      <c r="G15" s="12"/>
      <c r="H15" s="12"/>
      <c r="I15" s="12"/>
      <c r="J15" s="12"/>
      <c r="K15" s="12"/>
      <c r="L15" s="12"/>
      <c r="M15" s="7">
        <f t="shared" si="12"/>
        <v>440</v>
      </c>
      <c r="N15" s="9">
        <v>44.0</v>
      </c>
      <c r="O15" s="7">
        <f t="shared" si="2"/>
        <v>0</v>
      </c>
      <c r="P15" s="23"/>
      <c r="Q15" s="7">
        <f t="shared" si="3"/>
        <v>0</v>
      </c>
      <c r="R15" s="4"/>
      <c r="S15" s="7">
        <f t="shared" si="4"/>
        <v>0</v>
      </c>
      <c r="T15" s="9"/>
      <c r="U15" s="7">
        <f t="shared" si="5"/>
        <v>0</v>
      </c>
      <c r="V15" s="23"/>
      <c r="W15" s="7">
        <f t="shared" si="6"/>
        <v>0</v>
      </c>
      <c r="X15" s="23"/>
      <c r="Y15" s="7"/>
      <c r="Z15" s="10"/>
      <c r="AA15" s="7">
        <f t="shared" si="8"/>
        <v>0</v>
      </c>
      <c r="AB15" s="10"/>
      <c r="AC15" s="7">
        <f t="shared" si="11"/>
        <v>0</v>
      </c>
      <c r="AD15" s="10"/>
      <c r="AE15" s="7">
        <f t="shared" si="9"/>
        <v>0</v>
      </c>
      <c r="AF15" s="10"/>
      <c r="AG15" s="3"/>
      <c r="AH15" s="3"/>
      <c r="AI15" s="3"/>
      <c r="AJ15" s="3"/>
    </row>
    <row r="16">
      <c r="A16" s="23">
        <v>324.0</v>
      </c>
      <c r="B16" s="5">
        <v>46255.0</v>
      </c>
      <c r="C16" s="6" t="s">
        <v>39</v>
      </c>
      <c r="D16" s="7" t="s">
        <v>40</v>
      </c>
      <c r="E16" s="4">
        <v>300.0</v>
      </c>
      <c r="F16" s="4">
        <f>E16-G16-H16-I16-J16-L16</f>
        <v>277.5</v>
      </c>
      <c r="G16" s="12">
        <v>3.0</v>
      </c>
      <c r="H16" s="12">
        <v>9.0</v>
      </c>
      <c r="I16" s="12">
        <v>8.0</v>
      </c>
      <c r="J16" s="12">
        <v>0.5</v>
      </c>
      <c r="K16" s="12"/>
      <c r="L16" s="12">
        <v>2.0</v>
      </c>
      <c r="M16" s="7">
        <f t="shared" si="12"/>
        <v>0</v>
      </c>
      <c r="N16" s="10"/>
      <c r="O16" s="7">
        <f t="shared" si="2"/>
        <v>0</v>
      </c>
      <c r="P16" s="23"/>
      <c r="Q16" s="7">
        <f t="shared" si="3"/>
        <v>0</v>
      </c>
      <c r="R16" s="4"/>
      <c r="S16" s="7">
        <f t="shared" si="4"/>
        <v>0</v>
      </c>
      <c r="T16" s="23"/>
      <c r="U16" s="7">
        <f t="shared" si="5"/>
        <v>0</v>
      </c>
      <c r="V16" s="4"/>
      <c r="W16" s="7">
        <f t="shared" si="6"/>
        <v>0</v>
      </c>
      <c r="X16" s="4"/>
      <c r="Y16" s="7">
        <f t="shared" ref="Y16:Y26" si="13">Z16*1.4</f>
        <v>0</v>
      </c>
      <c r="Z16" s="9"/>
      <c r="AA16" s="7">
        <f t="shared" si="8"/>
        <v>0</v>
      </c>
      <c r="AB16" s="10"/>
      <c r="AC16" s="7">
        <f t="shared" si="11"/>
        <v>0</v>
      </c>
      <c r="AD16" s="10"/>
      <c r="AE16" s="7">
        <f t="shared" si="9"/>
        <v>0</v>
      </c>
      <c r="AF16" s="10"/>
      <c r="AG16" s="42" t="s">
        <v>73</v>
      </c>
      <c r="AH16" s="3"/>
      <c r="AI16" s="3"/>
      <c r="AJ16" s="3"/>
    </row>
    <row r="17">
      <c r="A17" s="43"/>
      <c r="B17" s="5">
        <v>46256.0</v>
      </c>
      <c r="C17" s="6" t="s">
        <v>41</v>
      </c>
      <c r="D17" s="7" t="s">
        <v>40</v>
      </c>
      <c r="E17" s="4"/>
      <c r="F17" s="8"/>
      <c r="G17" s="9"/>
      <c r="H17" s="9"/>
      <c r="I17" s="9"/>
      <c r="J17" s="9"/>
      <c r="K17" s="10"/>
      <c r="L17" s="9"/>
      <c r="M17" s="7">
        <f t="shared" si="12"/>
        <v>0</v>
      </c>
      <c r="N17" s="10"/>
      <c r="O17" s="7">
        <f t="shared" si="2"/>
        <v>0</v>
      </c>
      <c r="P17" s="12"/>
      <c r="Q17" s="7">
        <f t="shared" si="3"/>
        <v>0</v>
      </c>
      <c r="R17" s="4"/>
      <c r="S17" s="7">
        <f t="shared" si="4"/>
        <v>0</v>
      </c>
      <c r="T17" s="12"/>
      <c r="U17" s="7">
        <f t="shared" si="5"/>
        <v>12</v>
      </c>
      <c r="V17" s="9">
        <v>8.0</v>
      </c>
      <c r="W17" s="7">
        <f t="shared" si="6"/>
        <v>0</v>
      </c>
      <c r="X17" s="12"/>
      <c r="Y17" s="7">
        <f t="shared" si="13"/>
        <v>0</v>
      </c>
      <c r="Z17" s="10"/>
      <c r="AA17" s="7">
        <f t="shared" si="8"/>
        <v>0</v>
      </c>
      <c r="AB17" s="10"/>
      <c r="AC17" s="7">
        <f t="shared" si="11"/>
        <v>0</v>
      </c>
      <c r="AD17" s="10"/>
      <c r="AE17" s="7">
        <f t="shared" si="9"/>
        <v>0</v>
      </c>
      <c r="AF17" s="10"/>
      <c r="AG17" s="3"/>
      <c r="AH17" s="3"/>
      <c r="AI17" s="3"/>
      <c r="AJ17" s="3"/>
    </row>
    <row r="18">
      <c r="A18" s="23"/>
      <c r="B18" s="5">
        <v>46257.0</v>
      </c>
      <c r="C18" s="6" t="s">
        <v>39</v>
      </c>
      <c r="D18" s="7" t="s">
        <v>40</v>
      </c>
      <c r="E18" s="4"/>
      <c r="F18" s="4">
        <f>E18-G18-H18-I18-J18-L18</f>
        <v>0</v>
      </c>
      <c r="G18" s="23"/>
      <c r="H18" s="23"/>
      <c r="I18" s="23"/>
      <c r="J18" s="23"/>
      <c r="K18" s="28"/>
      <c r="L18" s="23"/>
      <c r="M18" s="7">
        <f t="shared" si="12"/>
        <v>0</v>
      </c>
      <c r="N18" s="9"/>
      <c r="O18" s="7">
        <f t="shared" si="2"/>
        <v>0</v>
      </c>
      <c r="P18" s="12"/>
      <c r="Q18" s="7">
        <f t="shared" si="3"/>
        <v>0</v>
      </c>
      <c r="R18" s="4"/>
      <c r="S18" s="7">
        <f t="shared" si="4"/>
        <v>0</v>
      </c>
      <c r="T18" s="10"/>
      <c r="U18" s="7">
        <f t="shared" si="5"/>
        <v>0</v>
      </c>
      <c r="V18" s="10"/>
      <c r="W18" s="7">
        <f t="shared" si="6"/>
        <v>0</v>
      </c>
      <c r="X18" s="10"/>
      <c r="Y18" s="7">
        <f t="shared" si="13"/>
        <v>0</v>
      </c>
      <c r="Z18" s="10"/>
      <c r="AA18" s="7">
        <f t="shared" si="8"/>
        <v>0</v>
      </c>
      <c r="AB18" s="10"/>
      <c r="AC18" s="7">
        <f t="shared" si="11"/>
        <v>0</v>
      </c>
      <c r="AD18" s="10"/>
      <c r="AE18" s="7">
        <f t="shared" si="9"/>
        <v>0</v>
      </c>
      <c r="AF18" s="10"/>
      <c r="AG18" s="3"/>
      <c r="AH18" s="3"/>
      <c r="AI18" s="3"/>
      <c r="AJ18" s="3"/>
    </row>
    <row r="19">
      <c r="A19" s="12">
        <v>326.0</v>
      </c>
      <c r="B19" s="5">
        <v>46258.0</v>
      </c>
      <c r="C19" s="12" t="s">
        <v>41</v>
      </c>
      <c r="D19" s="7" t="s">
        <v>40</v>
      </c>
      <c r="E19" s="4">
        <v>1170.0</v>
      </c>
      <c r="F19" s="8"/>
      <c r="G19" s="12"/>
      <c r="H19" s="12"/>
      <c r="I19" s="12"/>
      <c r="J19" s="12"/>
      <c r="K19" s="12"/>
      <c r="L19" s="12"/>
      <c r="M19" s="7">
        <f t="shared" si="12"/>
        <v>0</v>
      </c>
      <c r="N19" s="10"/>
      <c r="O19" s="7">
        <f t="shared" si="2"/>
        <v>0</v>
      </c>
      <c r="P19" s="9"/>
      <c r="Q19" s="7">
        <f t="shared" si="3"/>
        <v>0</v>
      </c>
      <c r="R19" s="4"/>
      <c r="S19" s="7">
        <f t="shared" si="4"/>
        <v>0</v>
      </c>
      <c r="T19" s="10"/>
      <c r="U19" s="7">
        <f t="shared" si="5"/>
        <v>0</v>
      </c>
      <c r="V19" s="9"/>
      <c r="W19" s="7">
        <f t="shared" si="6"/>
        <v>0</v>
      </c>
      <c r="X19" s="9"/>
      <c r="Y19" s="7">
        <f t="shared" si="13"/>
        <v>0</v>
      </c>
      <c r="Z19" s="10"/>
      <c r="AA19" s="7">
        <f t="shared" si="8"/>
        <v>0</v>
      </c>
      <c r="AB19" s="10"/>
      <c r="AC19" s="7">
        <f t="shared" si="11"/>
        <v>0</v>
      </c>
      <c r="AD19" s="10"/>
      <c r="AE19" s="7">
        <f t="shared" si="9"/>
        <v>0</v>
      </c>
      <c r="AF19" s="10"/>
      <c r="AG19" s="3"/>
      <c r="AH19" s="3"/>
      <c r="AI19" s="3"/>
      <c r="AJ19" s="3"/>
    </row>
    <row r="20">
      <c r="A20" s="9">
        <v>328.0</v>
      </c>
      <c r="B20" s="5">
        <v>46259.0</v>
      </c>
      <c r="C20" s="9" t="s">
        <v>39</v>
      </c>
      <c r="D20" s="7" t="s">
        <v>40</v>
      </c>
      <c r="E20" s="4">
        <v>720.0</v>
      </c>
      <c r="F20" s="4">
        <f>E20-G20-H20-I20-J20-L20</f>
        <v>644.9</v>
      </c>
      <c r="G20" s="9">
        <v>8.0</v>
      </c>
      <c r="H20" s="9">
        <v>9.0</v>
      </c>
      <c r="I20" s="9">
        <v>49.0</v>
      </c>
      <c r="J20" s="9">
        <v>0.1</v>
      </c>
      <c r="K20" s="10"/>
      <c r="L20" s="9">
        <v>9.0</v>
      </c>
      <c r="M20" s="7">
        <f t="shared" si="12"/>
        <v>0</v>
      </c>
      <c r="N20" s="10"/>
      <c r="O20" s="7">
        <f t="shared" si="2"/>
        <v>0</v>
      </c>
      <c r="P20" s="9"/>
      <c r="Q20" s="7">
        <f t="shared" si="3"/>
        <v>0</v>
      </c>
      <c r="R20" s="4"/>
      <c r="S20" s="7">
        <f t="shared" si="4"/>
        <v>0</v>
      </c>
      <c r="T20" s="10"/>
      <c r="U20" s="7">
        <f t="shared" si="5"/>
        <v>0</v>
      </c>
      <c r="V20" s="10"/>
      <c r="W20" s="7">
        <f t="shared" si="6"/>
        <v>0</v>
      </c>
      <c r="X20" s="10"/>
      <c r="Y20" s="7">
        <f t="shared" si="13"/>
        <v>0</v>
      </c>
      <c r="Z20" s="10"/>
      <c r="AA20" s="7">
        <f t="shared" si="8"/>
        <v>0</v>
      </c>
      <c r="AB20" s="10"/>
      <c r="AC20" s="7">
        <f t="shared" si="11"/>
        <v>0</v>
      </c>
      <c r="AD20" s="10"/>
      <c r="AE20" s="7">
        <f t="shared" si="9"/>
        <v>0</v>
      </c>
      <c r="AF20" s="10"/>
      <c r="AI20" s="3"/>
      <c r="AJ20" s="3"/>
    </row>
    <row r="21">
      <c r="A21" s="9"/>
      <c r="B21" s="5">
        <v>46260.0</v>
      </c>
      <c r="C21" s="9" t="s">
        <v>41</v>
      </c>
      <c r="D21" s="7" t="s">
        <v>40</v>
      </c>
      <c r="E21" s="4">
        <f t="shared" ref="E21:E22" si="14">M21+O21+Q21+S21+U21+W21+Y21+AA21+AC21+AE21</f>
        <v>1200</v>
      </c>
      <c r="F21" s="4"/>
      <c r="G21" s="9"/>
      <c r="H21" s="9"/>
      <c r="I21" s="9"/>
      <c r="J21" s="9"/>
      <c r="K21" s="10"/>
      <c r="L21" s="9"/>
      <c r="M21" s="7">
        <f t="shared" si="12"/>
        <v>0</v>
      </c>
      <c r="N21" s="10"/>
      <c r="O21" s="7">
        <f t="shared" si="2"/>
        <v>500</v>
      </c>
      <c r="P21" s="9">
        <v>25.0</v>
      </c>
      <c r="Q21" s="7">
        <f t="shared" si="3"/>
        <v>700</v>
      </c>
      <c r="R21" s="4">
        <v>35.0</v>
      </c>
      <c r="S21" s="7">
        <f t="shared" si="4"/>
        <v>0</v>
      </c>
      <c r="T21" s="10"/>
      <c r="U21" s="7">
        <f t="shared" si="5"/>
        <v>0</v>
      </c>
      <c r="V21" s="10"/>
      <c r="W21" s="7">
        <f t="shared" si="6"/>
        <v>0</v>
      </c>
      <c r="X21" s="10"/>
      <c r="Y21" s="7">
        <f t="shared" si="13"/>
        <v>0</v>
      </c>
      <c r="Z21" s="10"/>
      <c r="AA21" s="7">
        <f t="shared" si="8"/>
        <v>0</v>
      </c>
      <c r="AB21" s="10"/>
      <c r="AC21" s="7">
        <f t="shared" si="11"/>
        <v>0</v>
      </c>
      <c r="AD21" s="10"/>
      <c r="AE21" s="7">
        <f t="shared" si="9"/>
        <v>0</v>
      </c>
      <c r="AF21" s="10"/>
      <c r="AI21" s="3"/>
      <c r="AJ21" s="3"/>
    </row>
    <row r="22">
      <c r="A22" s="9">
        <v>332.0</v>
      </c>
      <c r="B22" s="5">
        <v>46261.0</v>
      </c>
      <c r="C22" s="9" t="s">
        <v>41</v>
      </c>
      <c r="D22" s="7" t="s">
        <v>40</v>
      </c>
      <c r="E22" s="4">
        <f t="shared" si="14"/>
        <v>770</v>
      </c>
      <c r="F22" s="8"/>
      <c r="G22" s="9"/>
      <c r="H22" s="9"/>
      <c r="I22" s="9"/>
      <c r="J22" s="9"/>
      <c r="K22" s="10"/>
      <c r="L22" s="10"/>
      <c r="M22" s="7">
        <f t="shared" si="12"/>
        <v>330</v>
      </c>
      <c r="N22" s="9">
        <v>33.0</v>
      </c>
      <c r="O22" s="7">
        <f t="shared" si="2"/>
        <v>340</v>
      </c>
      <c r="P22" s="9">
        <v>17.0</v>
      </c>
      <c r="Q22" s="7">
        <f t="shared" si="3"/>
        <v>100</v>
      </c>
      <c r="R22" s="4">
        <v>5.0</v>
      </c>
      <c r="S22" s="7">
        <f t="shared" si="4"/>
        <v>0</v>
      </c>
      <c r="T22" s="10"/>
      <c r="U22" s="7">
        <f t="shared" si="5"/>
        <v>0</v>
      </c>
      <c r="V22" s="10"/>
      <c r="W22" s="7">
        <f t="shared" si="6"/>
        <v>0</v>
      </c>
      <c r="X22" s="10"/>
      <c r="Y22" s="7">
        <f t="shared" si="13"/>
        <v>0</v>
      </c>
      <c r="Z22" s="10"/>
      <c r="AA22" s="7">
        <f t="shared" si="8"/>
        <v>0</v>
      </c>
      <c r="AB22" s="10"/>
      <c r="AC22" s="7">
        <f t="shared" si="11"/>
        <v>0</v>
      </c>
      <c r="AD22" s="10"/>
      <c r="AE22" s="7">
        <f t="shared" si="9"/>
        <v>0</v>
      </c>
      <c r="AF22" s="10"/>
      <c r="AI22" s="3"/>
      <c r="AJ22" s="3"/>
    </row>
    <row r="23">
      <c r="A23" s="9">
        <v>334.0</v>
      </c>
      <c r="B23" s="5">
        <v>46262.0</v>
      </c>
      <c r="C23" s="9" t="s">
        <v>39</v>
      </c>
      <c r="D23" s="7" t="s">
        <v>40</v>
      </c>
      <c r="E23" s="4">
        <v>420.0</v>
      </c>
      <c r="F23" s="4">
        <f>E23-G23-H23-I23-J23-L23</f>
        <v>400.5</v>
      </c>
      <c r="G23" s="9">
        <v>2.5</v>
      </c>
      <c r="H23" s="9">
        <v>1.0</v>
      </c>
      <c r="I23" s="9">
        <v>16.0</v>
      </c>
      <c r="J23" s="9"/>
      <c r="K23" s="10"/>
      <c r="L23" s="10"/>
      <c r="M23" s="7">
        <f t="shared" si="12"/>
        <v>0</v>
      </c>
      <c r="N23" s="10"/>
      <c r="O23" s="7">
        <f t="shared" si="2"/>
        <v>0</v>
      </c>
      <c r="P23" s="10"/>
      <c r="Q23" s="7">
        <f t="shared" si="3"/>
        <v>0</v>
      </c>
      <c r="R23" s="7"/>
      <c r="S23" s="7">
        <f t="shared" si="4"/>
        <v>0</v>
      </c>
      <c r="T23" s="10"/>
      <c r="U23" s="7">
        <f t="shared" si="5"/>
        <v>0</v>
      </c>
      <c r="V23" s="10"/>
      <c r="W23" s="7">
        <f t="shared" si="6"/>
        <v>0</v>
      </c>
      <c r="X23" s="10"/>
      <c r="Y23" s="7">
        <f t="shared" si="13"/>
        <v>0</v>
      </c>
      <c r="Z23" s="10"/>
      <c r="AA23" s="7">
        <f t="shared" si="8"/>
        <v>0</v>
      </c>
      <c r="AB23" s="10"/>
      <c r="AC23" s="7">
        <f t="shared" si="11"/>
        <v>0</v>
      </c>
      <c r="AD23" s="10"/>
      <c r="AE23" s="7">
        <f t="shared" si="9"/>
        <v>0</v>
      </c>
      <c r="AF23" s="10"/>
      <c r="AG23" s="3"/>
      <c r="AH23" s="3"/>
      <c r="AI23" s="3"/>
      <c r="AJ23" s="3"/>
    </row>
    <row r="24">
      <c r="A24" s="9"/>
      <c r="B24" s="5">
        <v>46263.0</v>
      </c>
      <c r="C24" s="9"/>
      <c r="D24" s="7" t="s">
        <v>40</v>
      </c>
      <c r="E24" s="4">
        <f t="shared" ref="E24:E26" si="15">F24-G24-H24-I24-J24-K24-L24</f>
        <v>0</v>
      </c>
      <c r="F24" s="8"/>
      <c r="G24" s="9"/>
      <c r="H24" s="9"/>
      <c r="I24" s="9"/>
      <c r="J24" s="9"/>
      <c r="K24" s="10"/>
      <c r="L24" s="10"/>
      <c r="M24" s="7">
        <f t="shared" si="12"/>
        <v>0</v>
      </c>
      <c r="N24" s="10"/>
      <c r="O24" s="7">
        <f t="shared" si="2"/>
        <v>0</v>
      </c>
      <c r="P24" s="10"/>
      <c r="Q24" s="7">
        <f t="shared" si="3"/>
        <v>0</v>
      </c>
      <c r="R24" s="7"/>
      <c r="S24" s="7">
        <f t="shared" si="4"/>
        <v>0</v>
      </c>
      <c r="T24" s="10"/>
      <c r="U24" s="7">
        <f t="shared" si="5"/>
        <v>0</v>
      </c>
      <c r="V24" s="10"/>
      <c r="W24" s="7">
        <f t="shared" si="6"/>
        <v>0</v>
      </c>
      <c r="X24" s="10"/>
      <c r="Y24" s="7">
        <f t="shared" si="13"/>
        <v>0</v>
      </c>
      <c r="Z24" s="10"/>
      <c r="AA24" s="7">
        <f t="shared" si="8"/>
        <v>0</v>
      </c>
      <c r="AB24" s="10"/>
      <c r="AC24" s="7">
        <f t="shared" si="11"/>
        <v>0</v>
      </c>
      <c r="AD24" s="10"/>
      <c r="AE24" s="7">
        <f t="shared" si="9"/>
        <v>0</v>
      </c>
      <c r="AF24" s="10"/>
      <c r="AG24" s="3"/>
      <c r="AH24" s="3"/>
      <c r="AI24" s="3"/>
      <c r="AJ24" s="3"/>
    </row>
    <row r="25">
      <c r="A25" s="9"/>
      <c r="B25" s="5">
        <v>46264.0</v>
      </c>
      <c r="C25" s="9"/>
      <c r="D25" s="7" t="s">
        <v>40</v>
      </c>
      <c r="E25" s="4">
        <f t="shared" si="15"/>
        <v>0</v>
      </c>
      <c r="F25" s="8"/>
      <c r="G25" s="9"/>
      <c r="H25" s="9"/>
      <c r="I25" s="9"/>
      <c r="J25" s="9"/>
      <c r="K25" s="10"/>
      <c r="L25" s="10"/>
      <c r="M25" s="7">
        <f t="shared" si="12"/>
        <v>0</v>
      </c>
      <c r="N25" s="10"/>
      <c r="O25" s="7">
        <f t="shared" si="2"/>
        <v>0</v>
      </c>
      <c r="P25" s="10"/>
      <c r="Q25" s="7">
        <f t="shared" si="3"/>
        <v>0</v>
      </c>
      <c r="R25" s="7"/>
      <c r="S25" s="7">
        <f t="shared" si="4"/>
        <v>0</v>
      </c>
      <c r="T25" s="10"/>
      <c r="U25" s="7">
        <f t="shared" si="5"/>
        <v>0</v>
      </c>
      <c r="V25" s="10"/>
      <c r="W25" s="7">
        <f t="shared" si="6"/>
        <v>0</v>
      </c>
      <c r="X25" s="10"/>
      <c r="Y25" s="7">
        <f t="shared" si="13"/>
        <v>0</v>
      </c>
      <c r="Z25" s="10"/>
      <c r="AA25" s="7">
        <f t="shared" si="8"/>
        <v>0</v>
      </c>
      <c r="AB25" s="10"/>
      <c r="AC25" s="7">
        <f t="shared" si="11"/>
        <v>0</v>
      </c>
      <c r="AD25" s="10"/>
      <c r="AE25" s="7">
        <f t="shared" si="9"/>
        <v>0</v>
      </c>
      <c r="AF25" s="10"/>
      <c r="AG25" s="3"/>
      <c r="AH25" s="3"/>
      <c r="AI25" s="3"/>
      <c r="AJ25" s="3"/>
    </row>
    <row r="26">
      <c r="A26" s="9"/>
      <c r="B26" s="5">
        <v>46265.0</v>
      </c>
      <c r="C26" s="9"/>
      <c r="D26" s="7" t="s">
        <v>40</v>
      </c>
      <c r="E26" s="4">
        <f t="shared" si="15"/>
        <v>0</v>
      </c>
      <c r="F26" s="8"/>
      <c r="G26" s="9"/>
      <c r="H26" s="9"/>
      <c r="I26" s="9"/>
      <c r="J26" s="9"/>
      <c r="K26" s="10"/>
      <c r="L26" s="10"/>
      <c r="M26" s="7">
        <f t="shared" si="12"/>
        <v>0</v>
      </c>
      <c r="N26" s="10"/>
      <c r="O26" s="7">
        <f t="shared" si="2"/>
        <v>0</v>
      </c>
      <c r="P26" s="10"/>
      <c r="Q26" s="7">
        <f t="shared" si="3"/>
        <v>0</v>
      </c>
      <c r="R26" s="7"/>
      <c r="S26" s="7">
        <f t="shared" si="4"/>
        <v>0</v>
      </c>
      <c r="T26" s="10"/>
      <c r="U26" s="7">
        <f t="shared" si="5"/>
        <v>0</v>
      </c>
      <c r="V26" s="10"/>
      <c r="W26" s="7">
        <f t="shared" si="6"/>
        <v>0</v>
      </c>
      <c r="X26" s="10"/>
      <c r="Y26" s="7">
        <f t="shared" si="13"/>
        <v>0</v>
      </c>
      <c r="Z26" s="10"/>
      <c r="AA26" s="7">
        <f t="shared" si="8"/>
        <v>0</v>
      </c>
      <c r="AB26" s="10"/>
      <c r="AC26" s="7">
        <f t="shared" si="11"/>
        <v>0</v>
      </c>
      <c r="AD26" s="10"/>
      <c r="AE26" s="7">
        <f t="shared" si="9"/>
        <v>0</v>
      </c>
      <c r="AF26" s="10"/>
      <c r="AG26" s="3"/>
      <c r="AH26" s="3"/>
      <c r="AI26" s="3"/>
      <c r="AJ26" s="3"/>
    </row>
    <row r="27">
      <c r="A27" s="32" t="s">
        <v>55</v>
      </c>
      <c r="B27" s="33"/>
      <c r="C27" s="33"/>
      <c r="D27" s="34"/>
      <c r="E27" s="35">
        <f>SUM(F27:AE27)</f>
        <v>10749</v>
      </c>
      <c r="F27" s="35">
        <f t="shared" ref="F27:L27" si="16">SUM(F3:F22)</f>
        <v>3546.9</v>
      </c>
      <c r="G27" s="35">
        <f t="shared" si="16"/>
        <v>162</v>
      </c>
      <c r="H27" s="35">
        <f t="shared" si="16"/>
        <v>31</v>
      </c>
      <c r="I27" s="35">
        <f t="shared" si="16"/>
        <v>128</v>
      </c>
      <c r="J27" s="35">
        <f t="shared" si="16"/>
        <v>3.6</v>
      </c>
      <c r="K27" s="35">
        <f t="shared" si="16"/>
        <v>0</v>
      </c>
      <c r="L27" s="35">
        <f t="shared" si="16"/>
        <v>18.5</v>
      </c>
      <c r="M27" s="35">
        <f t="shared" ref="M27:O27" si="17">SUM(M3:M20)</f>
        <v>440</v>
      </c>
      <c r="N27" s="35">
        <f t="shared" si="17"/>
        <v>44</v>
      </c>
      <c r="O27" s="35">
        <f t="shared" si="17"/>
        <v>1960</v>
      </c>
      <c r="P27" s="35">
        <f>SUM(P2:P20)</f>
        <v>116</v>
      </c>
      <c r="Q27" s="35">
        <f t="shared" ref="Q27:U27" si="18">SUM(Q3:Q20)</f>
        <v>1750</v>
      </c>
      <c r="R27" s="35">
        <f t="shared" si="18"/>
        <v>87.5</v>
      </c>
      <c r="S27" s="35">
        <f t="shared" si="18"/>
        <v>330</v>
      </c>
      <c r="T27" s="35">
        <f t="shared" si="18"/>
        <v>60</v>
      </c>
      <c r="U27" s="35">
        <f t="shared" si="18"/>
        <v>64.5</v>
      </c>
      <c r="V27" s="35">
        <f t="shared" ref="V27:X27" si="19">SUM(V2:V20)</f>
        <v>43</v>
      </c>
      <c r="W27" s="35">
        <f t="shared" si="19"/>
        <v>982</v>
      </c>
      <c r="X27" s="35">
        <f t="shared" si="19"/>
        <v>982</v>
      </c>
      <c r="Y27" s="35">
        <f t="shared" ref="Y27:AF27" si="20">SUM(Y3:Y20)</f>
        <v>0</v>
      </c>
      <c r="Z27" s="35">
        <f t="shared" si="20"/>
        <v>0</v>
      </c>
      <c r="AA27" s="35">
        <f t="shared" si="20"/>
        <v>0</v>
      </c>
      <c r="AB27" s="35">
        <f t="shared" si="20"/>
        <v>0</v>
      </c>
      <c r="AC27" s="35">
        <f t="shared" si="20"/>
        <v>0</v>
      </c>
      <c r="AD27" s="35">
        <f t="shared" si="20"/>
        <v>0</v>
      </c>
      <c r="AE27" s="35">
        <f t="shared" si="20"/>
        <v>0</v>
      </c>
      <c r="AF27" s="35">
        <f t="shared" si="20"/>
        <v>0</v>
      </c>
      <c r="AG27" s="3"/>
      <c r="AH27" s="3"/>
      <c r="AI27" s="3"/>
      <c r="AJ27" s="3"/>
    </row>
    <row r="28">
      <c r="AG28" s="3"/>
      <c r="AH28" s="3"/>
      <c r="AI28" s="3"/>
      <c r="AJ28" s="3"/>
    </row>
    <row r="29">
      <c r="A29" s="3"/>
      <c r="B29" s="13" t="s">
        <v>56</v>
      </c>
      <c r="C29" s="3"/>
      <c r="D29" s="3"/>
      <c r="E29" s="3"/>
      <c r="F29" s="3"/>
      <c r="G29" s="13" t="s">
        <v>57</v>
      </c>
      <c r="H29" s="38">
        <f>H27+I27+M27+U27+W27+AE27+L27</f>
        <v>1664</v>
      </c>
      <c r="I29" s="3"/>
      <c r="J29" s="13" t="s">
        <v>58</v>
      </c>
      <c r="K29" s="13"/>
      <c r="L29" s="38">
        <f>SUM(F27+G27)</f>
        <v>3708.9</v>
      </c>
      <c r="M29" s="3"/>
      <c r="N29" s="13" t="s">
        <v>59</v>
      </c>
      <c r="O29" s="38">
        <f>J27+AC27</f>
        <v>3.6</v>
      </c>
      <c r="P29" s="3"/>
      <c r="Q29" s="3"/>
      <c r="R29" s="3"/>
      <c r="S29" s="3"/>
      <c r="T29" s="3"/>
      <c r="U29" s="3"/>
      <c r="V29" s="3"/>
      <c r="W29" s="3"/>
      <c r="X29" s="3"/>
      <c r="Y29" s="41">
        <f t="shared" ref="Y29:Z29" si="21">SUM(Y27,AA27,AC27,AE27)</f>
        <v>0</v>
      </c>
      <c r="Z29" s="38">
        <f t="shared" si="21"/>
        <v>0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2" t="s">
        <v>16</v>
      </c>
      <c r="B30" s="2" t="s">
        <v>1</v>
      </c>
      <c r="C30" s="2" t="s">
        <v>61</v>
      </c>
      <c r="D30" s="2" t="s">
        <v>62</v>
      </c>
      <c r="E30" s="2" t="s">
        <v>63</v>
      </c>
      <c r="F30" s="3"/>
      <c r="G30" s="13" t="s">
        <v>64</v>
      </c>
      <c r="H30" s="13" t="s">
        <v>65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10"/>
      <c r="B31" s="31"/>
      <c r="C31" s="24" t="s">
        <v>66</v>
      </c>
      <c r="D31" s="10"/>
      <c r="E31" s="10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13" t="s">
        <v>67</v>
      </c>
      <c r="X31" s="38">
        <f>X27+V27</f>
        <v>1025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10"/>
      <c r="B32" s="31"/>
      <c r="C32" s="24" t="s">
        <v>66</v>
      </c>
      <c r="D32" s="10"/>
      <c r="E32" s="10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13" t="s">
        <v>68</v>
      </c>
      <c r="X32" s="38">
        <f>W27+U27</f>
        <v>1046.5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10"/>
      <c r="B33" s="31"/>
      <c r="C33" s="24" t="s">
        <v>66</v>
      </c>
      <c r="D33" s="10"/>
      <c r="E33" s="10"/>
      <c r="F33" s="3"/>
      <c r="G33" s="42">
        <f>SUM(F17:L17)</f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10"/>
      <c r="B34" s="31"/>
      <c r="C34" s="24" t="s">
        <v>66</v>
      </c>
      <c r="D34" s="10"/>
      <c r="E34" s="1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>
      <c r="A35" s="10"/>
      <c r="B35" s="31"/>
      <c r="C35" s="10"/>
      <c r="D35" s="7">
        <f>E35*20</f>
        <v>0</v>
      </c>
      <c r="E35" s="1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>
      <c r="A36" s="10"/>
      <c r="B36" s="31"/>
      <c r="C36" s="10"/>
      <c r="D36" s="10"/>
      <c r="E36" s="1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>
      <c r="A37" s="10"/>
      <c r="B37" s="31"/>
      <c r="C37" s="10"/>
      <c r="D37" s="10"/>
      <c r="E37" s="1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10"/>
      <c r="B38" s="31"/>
      <c r="C38" s="10"/>
      <c r="D38" s="10"/>
      <c r="E38" s="1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10"/>
      <c r="B39" s="31"/>
      <c r="C39" s="10"/>
      <c r="D39" s="10"/>
      <c r="E39" s="10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10"/>
      <c r="B40" s="31"/>
      <c r="C40" s="10"/>
      <c r="D40" s="10"/>
      <c r="E40" s="10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>
      <c r="A41" s="10"/>
      <c r="B41" s="31"/>
      <c r="C41" s="10"/>
      <c r="D41" s="10"/>
      <c r="E41" s="10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10"/>
      <c r="B42" s="31"/>
      <c r="C42" s="10"/>
      <c r="D42" s="10"/>
      <c r="E42" s="1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10"/>
      <c r="B43" s="31"/>
      <c r="C43" s="10"/>
      <c r="D43" s="10"/>
      <c r="E43" s="1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10"/>
      <c r="B44" s="31"/>
      <c r="C44" s="10"/>
      <c r="D44" s="10"/>
      <c r="E44" s="10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3"/>
      <c r="B50" s="3"/>
      <c r="C50" s="3"/>
      <c r="D50" s="3"/>
      <c r="E50" s="3"/>
      <c r="F50" s="3"/>
      <c r="G50" s="3"/>
      <c r="H50" s="3"/>
      <c r="I50" s="42">
        <v>2370000.0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3"/>
      <c r="B51" s="3"/>
      <c r="C51" s="3"/>
      <c r="D51" s="3"/>
      <c r="E51" s="3"/>
      <c r="F51" s="3"/>
      <c r="G51" s="3"/>
      <c r="H51" s="3"/>
      <c r="I51" s="42">
        <v>484000.0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3"/>
      <c r="B52" s="3"/>
      <c r="C52" s="3"/>
      <c r="D52" s="3"/>
      <c r="E52" s="3"/>
      <c r="F52" s="3"/>
      <c r="G52" s="4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3"/>
      <c r="B53" s="3"/>
      <c r="C53" s="3"/>
      <c r="D53" s="3"/>
      <c r="E53" s="3"/>
      <c r="F53" s="3"/>
      <c r="G53" s="3"/>
      <c r="H53" s="3"/>
      <c r="I53" s="3">
        <f>I50+I51</f>
        <v>2854000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</sheetData>
  <mergeCells count="1">
    <mergeCell ref="A27:D27"/>
  </mergeCells>
  <dataValidations>
    <dataValidation type="list" allowBlank="1" showErrorMessage="1" sqref="C31:C44">
      <formula1>"Palet,Carrete de Madera,Carrete Plástico,Tambores 120 lts"</formula1>
    </dataValidation>
    <dataValidation type="list" allowBlank="1" showErrorMessage="1" sqref="C2:C26">
      <formula1>"AREAS PRODUCTIVAS,bod, Apd, Ácido,puntos verdes y HSEC"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