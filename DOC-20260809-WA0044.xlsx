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eco-equivalencia" sheetId="1" r:id="rId4"/>
    <sheet state="visible" name="RETIROS SCANIA 2021" sheetId="2" r:id="rId5"/>
    <sheet state="visible" name="RETIROS SK 2022" sheetId="3" r:id="rId6"/>
    <sheet state="visible" name="Retiros Colegio Chuquicamata 20" sheetId="4" r:id="rId7"/>
    <sheet state="visible" name="Retiros Bluexpress" sheetId="5" r:id="rId8"/>
    <sheet state="visible" name="Retiros Balap" sheetId="6" r:id="rId9"/>
    <sheet state="visible" name="Retiros GYV" sheetId="7" r:id="rId10"/>
    <sheet state="visible" name="Retiros Derco" sheetId="8" r:id="rId11"/>
    <sheet state="visible" name="Retiros Ollague" sheetId="9" r:id="rId12"/>
    <sheet state="visible" name="retiros hara kara 2021" sheetId="10" r:id="rId13"/>
    <sheet state="visible" name="plantilla de cant." sheetId="11" r:id="rId14"/>
    <sheet state="visible" name="registro gestion cartonpapel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Retiro realizado el 14/08/2022
Cartón Papel plástico aluminio.
</t>
      </text>
    </comment>
    <comment authorId="0" ref="A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Retiro realizado el 21 de agosto 
0 redisuos
</t>
      </text>
    </comment>
    <comment authorId="0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Retiro realizado el 28 de agosto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11 de agosto
</t>
      </text>
    </comment>
    <comment authorId="0" ref="A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1,2 de pet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RETIRO REALIZADO EL 9 DE SEPT.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PLÁSTICO FILM 9/9/2022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papeleta errada de 1390 kg
</t>
      </text>
    </comment>
  </commentList>
</comments>
</file>

<file path=xl/sharedStrings.xml><?xml version="1.0" encoding="utf-8"?>
<sst xmlns="http://schemas.openxmlformats.org/spreadsheetml/2006/main" count="543" uniqueCount="147">
  <si>
    <t>14.675.8 kg</t>
  </si>
  <si>
    <t>TABLA Eco-equivalencia</t>
  </si>
  <si>
    <t>Para fabricar una tonelada de papel celulosa se necesita talar 17 árboles. De cada árbol se obtienen 58,85 kilos de papel/cartón.</t>
  </si>
  <si>
    <t>ARBOLES</t>
  </si>
  <si>
    <t>sumar kg de la madera de los palett y agregar la equivalencia en los arboles rescatados</t>
  </si>
  <si>
    <t>Recurso/Residuo</t>
  </si>
  <si>
    <t>Plástico</t>
  </si>
  <si>
    <t>Pallets</t>
  </si>
  <si>
    <t>vidrio</t>
  </si>
  <si>
    <t xml:space="preserve">Cartón </t>
  </si>
  <si>
    <t>total</t>
  </si>
  <si>
    <t>energia Kw</t>
  </si>
  <si>
    <t>x</t>
  </si>
  <si>
    <t xml:space="preserve">arboles </t>
  </si>
  <si>
    <t>Reciclar una tonelada de papel ahorra el consumo de 270.000 litros de agua y 7.000 Kw/Hora de energía.</t>
  </si>
  <si>
    <t>agua</t>
  </si>
  <si>
    <t>energía</t>
  </si>
  <si>
    <t>agua lts</t>
  </si>
  <si>
    <t>petroleo lts</t>
  </si>
  <si>
    <t>CO2 kg</t>
  </si>
  <si>
    <t>insertar valores</t>
  </si>
  <si>
    <t>Reciclar un kilo de plástico ahorra 39,26 litros de agua, evita emitir 2,5
Kg de CO2 a la atmósfera y el consumo de 5,0 Kw de energía.</t>
  </si>
  <si>
    <t xml:space="preserve">co2 </t>
  </si>
  <si>
    <t>petroleo</t>
  </si>
  <si>
    <t>residuo</t>
  </si>
  <si>
    <t>cantidad y kg</t>
  </si>
  <si>
    <t>Se han recuperado: 1.416 Kg de Film. 234 Kg de papel y cartón. 188 Kg de Botellas desechables. 50 Kg de Latas de aluminio.</t>
  </si>
  <si>
    <t>plastico kg.</t>
  </si>
  <si>
    <t>carton -papel kg.</t>
  </si>
  <si>
    <t>vidrio kg.</t>
  </si>
  <si>
    <t>Residuos</t>
  </si>
  <si>
    <t>Cantidad</t>
  </si>
  <si>
    <t>latas kg.</t>
  </si>
  <si>
    <t>Cartón:</t>
  </si>
  <si>
    <t>l recuperar 2 toneladas de plástico se ahorra una tonelada de petróleo, el reciclaje de vidrio ahorra un 20% de la contaminación atmosférica y un 50% de la contaminación de las aguas, mientras que la del papel disminuye el consumo de agua en un 86% y el de energía en un 65%.</t>
  </si>
  <si>
    <t>PALLETS cant.</t>
  </si>
  <si>
    <t>Papel:</t>
  </si>
  <si>
    <t>TOTAL</t>
  </si>
  <si>
    <t>Botellas Plásticas:</t>
  </si>
  <si>
    <t>37 Kg.</t>
  </si>
  <si>
    <t>A</t>
  </si>
  <si>
    <t>Latas de Aluminio:</t>
  </si>
  <si>
    <t>9 Kg.</t>
  </si>
  <si>
    <t>Plástico LDPE (Film):</t>
  </si>
  <si>
    <t>306 Kg.</t>
  </si>
  <si>
    <t>Carretes Plásticos:</t>
  </si>
  <si>
    <t>653 Kg. (879 un.)</t>
  </si>
  <si>
    <t>Sunchos:</t>
  </si>
  <si>
    <t>36 Kg.</t>
  </si>
  <si>
    <t>TOTAL:</t>
  </si>
  <si>
    <t>5.450 kg</t>
  </si>
  <si>
    <t>“Si reciclas 10 pallets salvas un árbol. Cada vez que compras proyectos iguales o superiores a 10 pallets, tú evitas talar un árbol. La idea es no estimular la tala o la deforestación. Nosotros podríamos comprar la madera de un aserradero, pero invitamos a hacerlo a través de pallets”.</t>
  </si>
  <si>
    <t>PALLETS</t>
  </si>
  <si>
    <t>ARBOL</t>
  </si>
  <si>
    <t>kg co2</t>
  </si>
  <si>
    <t>Gracias al reciclado de 1 tonelada de vidrio, se ahorra 1,2 toneladas de materias primas vírgenes, así como un 30% de energía y se evita la emisión de 670 kg de CO2. Fuente: FEVE y ECOVIDRIO.</t>
  </si>
  <si>
    <t>kw</t>
  </si>
  <si>
    <t>Por cada tonelada de vidrio el ahorro es de es de 1320 Kilowatt.</t>
  </si>
  <si>
    <t>RESIDUOS en kg.</t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</si>
  <si>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SCANIA </t>
    </r>
    <r>
      <rPr>
        <rFont val="Calibri"/>
        <b val="0"/>
        <color/>
        <sz val="24.0"/>
      </rPr>
      <t>sucursal Calama</t>
    </r>
  </si>
  <si>
    <t>ENERO (1)</t>
  </si>
  <si>
    <t>FEBRERO (2)</t>
  </si>
  <si>
    <t>MARZO (3)</t>
  </si>
  <si>
    <t>ABRIL (4)</t>
  </si>
  <si>
    <t>MAYO (5)</t>
  </si>
  <si>
    <t>JUNIO (6)</t>
  </si>
  <si>
    <t>JULIO (7)</t>
  </si>
  <si>
    <t>AGOSTO (8)</t>
  </si>
  <si>
    <t>SEPTIEMBRE (9)</t>
  </si>
  <si>
    <t>OCTUBRE (10)</t>
  </si>
  <si>
    <t>NOVIEMBRE  (11)</t>
  </si>
  <si>
    <t>DICIEMBRE (12)</t>
  </si>
  <si>
    <t>SEMANA-FECHA</t>
  </si>
  <si>
    <t>X</t>
  </si>
  <si>
    <t>3-19</t>
  </si>
  <si>
    <t>4-26</t>
  </si>
  <si>
    <t>TOTAL kg.</t>
  </si>
  <si>
    <t>3-16</t>
  </si>
  <si>
    <t>4-23</t>
  </si>
  <si>
    <t>4-30</t>
  </si>
  <si>
    <t>3-18</t>
  </si>
  <si>
    <t>4-25</t>
  </si>
  <si>
    <t>PLÁSTICO KG</t>
  </si>
  <si>
    <t>-</t>
  </si>
  <si>
    <t>VIDRIO KG</t>
  </si>
  <si>
    <t>CARTÓN KG</t>
  </si>
  <si>
    <t>PAPEL KG</t>
  </si>
  <si>
    <t>LATAS ALUMINIO KG</t>
  </si>
  <si>
    <t>LATAS DE CONSERVA KG</t>
  </si>
  <si>
    <t>PALLETS (UNIDAD)</t>
  </si>
  <si>
    <t>TOTAL KG. DE RESIDUOS</t>
  </si>
  <si>
    <t>abril</t>
  </si>
  <si>
    <t xml:space="preserve">PET = </t>
  </si>
  <si>
    <t xml:space="preserve">CARTON = </t>
  </si>
  <si>
    <t xml:space="preserve">papel = </t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</si>
  <si>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SK </t>
    </r>
    <r>
      <rPr>
        <rFont val="Calibri"/>
        <b val="0"/>
        <color/>
        <sz val="24.0"/>
      </rPr>
      <t>sucursal Calama</t>
    </r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</si>
  <si>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Colegio Chuquicamata 2022</t>
    </r>
  </si>
  <si>
    <t>Mayo</t>
  </si>
  <si>
    <t>Tetrapack</t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</si>
  <si>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Bluexpress 2022</t>
    </r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</si>
  <si>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Bluexpress 2022</t>
    </r>
  </si>
  <si>
    <t>48.9</t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</si>
  <si>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GYV 2022</t>
    </r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</si>
  <si>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DERCO 2022</t>
    </r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</si>
  <si>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Ollague 2022</t>
    </r>
  </si>
  <si>
    <t>Agosto (8)</t>
  </si>
  <si>
    <r>
      <rPr>
        <rFont val="Calibri"/>
        <b val="0"/>
        <color/>
        <sz val="18.0"/>
      </rPr>
      <t>RETIRO MENSUAL</t>
    </r>
    <r>
      <rPr>
        <rFont val="Calibri"/>
        <b/>
        <color/>
        <sz val="24.0"/>
      </rPr>
      <t xml:space="preserve"> HOTEL HARA KARA</t>
    </r>
  </si>
  <si>
    <t>2-14</t>
  </si>
  <si>
    <t>3-21</t>
  </si>
  <si>
    <t>4-28</t>
  </si>
  <si>
    <t>PLÁSTICO kg</t>
  </si>
  <si>
    <t>VIDRIO kg</t>
  </si>
  <si>
    <t>CARTÓN kg</t>
  </si>
  <si>
    <t>PAPEL kg</t>
  </si>
  <si>
    <t>LATAS ALUMINIO kg</t>
  </si>
  <si>
    <t>LATAS DE CONSERVA kg</t>
  </si>
  <si>
    <t>palett cant. kg</t>
  </si>
  <si>
    <t>RESIDUOS</t>
  </si>
  <si>
    <t>CANT.</t>
  </si>
  <si>
    <t>KG.</t>
  </si>
  <si>
    <t>PALETT</t>
  </si>
  <si>
    <t>CARTON/PAPEL</t>
  </si>
  <si>
    <t>BOTELLAS PLÁSTICAS</t>
  </si>
  <si>
    <t>BOTELLAS PLASTICAS</t>
  </si>
  <si>
    <t>LATAS DE ALUMINIO</t>
  </si>
  <si>
    <t>CHATARRA METALICA</t>
  </si>
  <si>
    <t>Residuo</t>
  </si>
  <si>
    <t>Cantidad Kg.</t>
  </si>
  <si>
    <t>BOTELLAS DE VIDRIO</t>
  </si>
  <si>
    <t>BASURA DOMICILIARIA</t>
  </si>
  <si>
    <t>Plastico</t>
  </si>
  <si>
    <t>Cartón</t>
  </si>
  <si>
    <t>TOTAL RESIDUOS</t>
  </si>
  <si>
    <t xml:space="preserve">Vidrio </t>
  </si>
  <si>
    <t xml:space="preserve">Residuos </t>
  </si>
  <si>
    <t>Kg.</t>
  </si>
  <si>
    <t>Unidad</t>
  </si>
  <si>
    <t>Latas de aluminio</t>
  </si>
  <si>
    <t>Vidrio</t>
  </si>
  <si>
    <t xml:space="preserve">Aluminio </t>
  </si>
  <si>
    <t>Cantidad Kg</t>
  </si>
  <si>
    <t>Registro de gestion de carton / papel
REDIMIR</t>
  </si>
  <si>
    <t>fecha</t>
  </si>
  <si>
    <t>peso (kg)</t>
  </si>
  <si>
    <t>carton</t>
  </si>
  <si>
    <t>10-09.21</t>
  </si>
  <si>
    <t>22-10.21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</si>
</sst>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0.0"/>
    <numFmt numFmtId="166" formatCode="dddd, dd&quot; de &quot;mmmm yyyy"/>
    <numFmt numFmtId="167" formatCode="#,##0.0"/>
    <numFmt numFmtId="168" formatCode="mmm-d"/>
    <numFmt numFmtId="169" formatCode="d-m"/>
    <numFmt numFmtId="170" formatCode="d.m"/>
    <numFmt numFmtId="171" formatCode="dd-mm-yy"/>
    <numFmt numFmtId="172" formatCode="d-m-yy"/>
  </numFmts>
  <fonts count="50">
    <font>
      <sz val="11.0"/>
      <color/>
      <name val="Arial"/>
      <scheme val="minor"/>
    </font>
    <font>
      <b/>
      <color rgb="FF000000"/>
      <name val="Calibri"/>
    </font>
    <font>
      <b/>
      <sz val="18.0"/>
      <color/>
      <name val="Calibri"/>
    </font>
    <font/>
    <font>
      <sz val="11.0"/>
      <color/>
      <name val="Calibri"/>
    </font>
    <font>
      <color/>
      <name val="Calibri"/>
    </font>
    <font>
      <b/>
      <sz val="14.0"/>
      <color rgb="FFFF0000"/>
      <name val="Calibri"/>
    </font>
    <font>
      <b/>
      <sz val="18.0"/>
      <color rgb="FFFFFFFF"/>
      <name val="Calibri"/>
    </font>
    <font>
      <sz val="18.0"/>
      <color rgb="FF000000"/>
      <name val="Calibri"/>
    </font>
    <font>
      <color rgb="FF000000"/>
      <name val="Calibri"/>
    </font>
    <font>
      <sz val="12.0"/>
      <color rgb="FF000000"/>
      <name val="Sans-serif"/>
    </font>
    <font>
      <color rgb="FF000000"/>
      <name val="Sans-serif"/>
    </font>
    <font>
      <color rgb="FF000000"/>
      <name val="Arial"/>
    </font>
    <font>
      <b/>
      <sz val="24.0"/>
      <color/>
      <name val="Calibri"/>
    </font>
    <font>
      <b/>
      <sz val="27.0"/>
      <color rgb="FFFF0000"/>
      <name val="Calibri"/>
    </font>
    <font>
      <b/>
      <sz val="12.0"/>
      <color rgb="FF000000"/>
      <name val="Sans-serif"/>
    </font>
    <font>
      <sz val="11.0"/>
      <color rgb="FF000000"/>
      <name val="Calibri"/>
    </font>
    <font>
      <sz val="12.0"/>
      <color rgb="FF706F6F"/>
      <name val="Open Sans"/>
    </font>
    <font>
      <sz val="12.0"/>
      <color rgb="FF333333"/>
      <name val="Open Sans"/>
    </font>
    <font>
      <b/>
      <sz val="11.0"/>
      <color/>
      <name val="Calibri"/>
    </font>
    <font>
      <sz val="12.0"/>
      <color/>
      <name val="Calibri"/>
    </font>
    <font>
      <b/>
      <sz val="12.0"/>
      <color/>
      <name val="Calibri"/>
    </font>
    <font>
      <b/>
      <sz val="14.0"/>
      <color/>
      <name val="Calibri"/>
    </font>
    <font>
      <sz val="14.0"/>
      <color/>
      <name val="Calibri"/>
    </font>
    <font>
      <b/>
      <color/>
      <name val="Calibri"/>
    </font>
    <font>
      <sz val="12.0"/>
      <color rgb="FFFF0000"/>
      <name val="Calibri"/>
    </font>
    <font>
      <b/>
      <sz val="18.0"/>
      <color/>
      <name val="Marcellus"/>
    </font>
    <font>
      <b/>
      <sz val="14.0"/>
      <color/>
      <name val="Marcellus"/>
    </font>
    <font>
      <color/>
      <name val="Marcellus"/>
    </font>
    <font>
      <b/>
      <sz val="18.0"/>
      <color rgb="FFFFFFFF"/>
      <name val="Marcellus"/>
    </font>
    <font>
      <b/>
      <sz val="14.0"/>
      <color rgb="FFFFFFFF"/>
      <name val="Marcellus"/>
    </font>
    <font>
      <sz val="14.0"/>
      <color/>
      <name val="Marcellus"/>
    </font>
    <font>
      <sz val="14.0"/>
      <color rgb="FFFFFFFF"/>
      <name val="Marcellus"/>
    </font>
    <font>
      <color rgb="FFFFFFFF"/>
      <name val="Marcellus"/>
    </font>
    <font>
      <sz val="12.0"/>
      <color/>
      <name val="Helvetica Neue"/>
    </font>
    <font>
      <sz val="18.0"/>
      <color/>
      <name val="Marcellus"/>
    </font>
    <font>
      <sz val="18.0"/>
      <color rgb="FFFFFFFF"/>
      <name val="Marcellus"/>
    </font>
    <font>
      <sz val="12.0"/>
      <color rgb="FF1F3864"/>
      <name val="Lucida fax"/>
    </font>
    <font>
      <sz val="12.0"/>
      <color/>
      <name val="Lucida fax"/>
    </font>
    <font>
      <b/>
      <sz val="18.0"/>
      <color rgb="FF1C4587"/>
      <name val="Marcellus"/>
    </font>
    <font>
      <b/>
      <sz val="14.0"/>
      <color rgb="FF1C4587"/>
      <name val="Marcellus"/>
    </font>
    <font>
      <sz val="12.0"/>
      <color rgb="FF1F3864"/>
      <name val="Helvetica Neue"/>
    </font>
    <font>
      <sz val="14.0"/>
      <color rgb="FF1C4587"/>
      <name val="Marcellus"/>
    </font>
    <font>
      <color rgb="FF1C4587"/>
      <name val="Marcellus"/>
    </font>
    <font>
      <sz val="18.0"/>
      <color rgb="FF1C4587"/>
      <name val="Marcellus"/>
    </font>
    <font>
      <b/>
      <color rgb="FF1155CC"/>
      <name val="Calibri"/>
    </font>
    <font>
      <color rgb="FF1155CC"/>
      <name val="Calibri"/>
    </font>
    <font>
      <b/>
      <sz val="15.0"/>
      <color rgb="FF1C4587"/>
      <name val="Calibri"/>
    </font>
    <font>
      <color rgb="FF1C4587"/>
      <name val="Calibri"/>
    </font>
    <font>
      <sz val="12.0"/>
      <color rgb="FF1F3864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74E1E4"/>
        <bgColor rgb="FF74E1E4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C55A11"/>
        <bgColor rgb="FFC55A11"/>
      </patternFill>
    </fill>
    <fill>
      <patternFill patternType="solid">
        <fgColor rgb="FF6FF4F7"/>
        <bgColor rgb="FF6FF4F7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00FFFF"/>
        <bgColor rgb="FF00FFFF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AEABAB"/>
        <bgColor rgb="FFAEABAB"/>
      </patternFill>
    </fill>
  </fills>
  <borders count="7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FF0000"/>
      </left>
      <top style="thick">
        <color rgb="FF000000"/>
      </top>
      <bottom style="medium">
        <color rgb="FFFF0000"/>
      </bottom>
    </border>
    <border>
      <right style="thick">
        <color rgb="FF000000"/>
      </right>
      <top style="thick">
        <color rgb="FF000000"/>
      </top>
      <bottom style="medium">
        <color rgb="FFFF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right style="thick">
        <color rgb="FF000000"/>
      </right>
      <top style="medium">
        <color rgb="FFFF0000"/>
      </top>
      <bottom style="medium">
        <color rgb="FFFF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medium">
        <color rgb="FFFF0000"/>
      </right>
      <top style="medium">
        <color rgb="FFFF0000"/>
      </top>
      <bottom style="thick">
        <color rgb="FF000000"/>
      </bottom>
    </border>
    <border>
      <left style="medium">
        <color rgb="FFFF0000"/>
      </left>
      <top style="medium">
        <color rgb="FFFF0000"/>
      </top>
      <bottom style="thick">
        <color rgb="FF000000"/>
      </bottom>
    </border>
    <border>
      <right style="thick">
        <color rgb="FF000000"/>
      </right>
      <top style="medium">
        <color rgb="FFFF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double">
        <color rgb="FFFF0000"/>
      </right>
      <bottom style="double">
        <color rgb="FFFF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FF0000"/>
      </left>
      <right style="double">
        <color rgb="FFFF0000"/>
      </right>
      <bottom style="double">
        <color rgb="FFFF0000"/>
      </bottom>
    </border>
    <border>
      <right style="double">
        <color rgb="FFFF0000"/>
      </right>
      <top style="double">
        <color rgb="FFFF0000"/>
      </top>
      <bottom style="double">
        <color rgb="FFFF0000"/>
      </bottom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FF0000"/>
      </left>
      <right style="double">
        <color rgb="FFFF0000"/>
      </right>
      <top style="double">
        <color rgb="FFFF0000"/>
      </top>
    </border>
    <border>
      <right style="medium">
        <color rgb="FFFF0000"/>
      </right>
      <bottom style="medium">
        <color rgb="FFFF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left style="double">
        <color rgb="FFFF0000"/>
      </left>
      <top style="double">
        <color rgb="FFFF0000"/>
      </top>
      <bottom style="double">
        <color rgb="FFFF0000"/>
      </bottom>
    </border>
    <border>
      <top style="double">
        <color rgb="FFFF0000"/>
      </top>
      <bottom style="double">
        <color rgb="FFFF0000"/>
      </bottom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155CC"/>
      </left>
      <right style="medium">
        <color rgb="FF1155CC"/>
      </right>
      <top style="medium">
        <color rgb="FF1155CC"/>
      </top>
      <bottom style="medium">
        <color rgb="FF1155CC"/>
      </bottom>
    </border>
    <border>
      <right style="thin">
        <color rgb="FF1F3864"/>
      </right>
    </border>
    <border>
      <bottom style="thin">
        <color rgb="FF1F3864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right style="medium">
        <color rgb="FF1F3864"/>
      </right>
      <top style="medium">
        <color rgb="FF1F3864"/>
      </top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4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2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6" fillId="2" fontId="8" numFmtId="164" xfId="0" applyAlignment="1" applyBorder="1" applyFont="1" applyNumberFormat="1">
      <alignment horizontal="center"/>
    </xf>
    <xf borderId="1" fillId="2" fontId="2" numFmtId="1" xfId="0" applyAlignment="1" applyBorder="1" applyFont="1" applyNumberFormat="1">
      <alignment horizontal="center"/>
    </xf>
    <xf borderId="6" fillId="2" fontId="8" numFmtId="165" xfId="0" applyAlignment="1" applyBorder="1" applyFont="1" applyNumberFormat="1">
      <alignment horizontal="center"/>
    </xf>
    <xf borderId="6" fillId="2" fontId="8" numFmtId="1" xfId="0" applyAlignment="1" applyBorder="1" applyFont="1" applyNumberFormat="1">
      <alignment horizontal="center"/>
    </xf>
    <xf borderId="6" fillId="2" fontId="8" numFmtId="0" xfId="0" applyAlignment="1" applyBorder="1" applyFont="1">
      <alignment horizontal="center"/>
    </xf>
    <xf borderId="0" fillId="0" fontId="9" numFmtId="0" xfId="0" applyFont="1"/>
    <xf borderId="5" fillId="2" fontId="2" numFmtId="0" xfId="0" applyAlignment="1" applyBorder="1" applyFont="1">
      <alignment horizontal="center"/>
    </xf>
    <xf borderId="0" fillId="0" fontId="5" numFmtId="3" xfId="0" applyFont="1" applyNumberFormat="1"/>
    <xf borderId="7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9" fillId="0" fontId="3" numFmtId="0" xfId="0" applyBorder="1" applyFont="1"/>
    <xf borderId="10" fillId="3" fontId="2" numFmtId="0" xfId="0" applyAlignment="1" applyBorder="1" applyFill="1" applyFont="1">
      <alignment horizontal="left"/>
    </xf>
    <xf borderId="11" fillId="3" fontId="2" numFmtId="4" xfId="0" applyAlignment="1" applyBorder="1" applyFont="1" applyNumberFormat="1">
      <alignment horizontal="center"/>
    </xf>
    <xf borderId="12" fillId="0" fontId="3" numFmtId="0" xfId="0" applyBorder="1" applyFont="1"/>
    <xf borderId="0" fillId="0" fontId="1" numFmtId="166" xfId="0" applyFont="1" applyNumberFormat="1"/>
    <xf borderId="13" fillId="4" fontId="2" numFmtId="0" xfId="0" applyAlignment="1" applyBorder="1" applyFill="1" applyFont="1">
      <alignment horizontal="left"/>
    </xf>
    <xf borderId="14" fillId="4" fontId="2" numFmtId="167" xfId="0" applyAlignment="1" applyBorder="1" applyFont="1" applyNumberFormat="1">
      <alignment horizontal="center"/>
    </xf>
    <xf borderId="15" fillId="0" fontId="3" numFmtId="0" xfId="0" applyBorder="1" applyFont="1"/>
    <xf borderId="13" fillId="5" fontId="2" numFmtId="0" xfId="0" applyAlignment="1" applyBorder="1" applyFill="1" applyFont="1">
      <alignment horizontal="left"/>
    </xf>
    <xf borderId="14" fillId="5" fontId="2" numFmtId="0" xfId="0" applyAlignment="1" applyBorder="1" applyFont="1">
      <alignment horizontal="center"/>
    </xf>
    <xf borderId="4" fillId="0" fontId="10" numFmtId="0" xfId="0" applyAlignment="1" applyBorder="1" applyFont="1">
      <alignment horizontal="left"/>
    </xf>
    <xf borderId="14" fillId="5" fontId="2" numFmtId="3" xfId="0" applyAlignment="1" applyBorder="1" applyFont="1" applyNumberFormat="1">
      <alignment horizontal="center"/>
    </xf>
    <xf borderId="4" fillId="0" fontId="11" numFmtId="0" xfId="0" applyAlignment="1" applyBorder="1" applyFont="1">
      <alignment horizontal="left"/>
    </xf>
    <xf borderId="4" fillId="0" fontId="12" numFmtId="3" xfId="0" applyAlignment="1" applyBorder="1" applyFont="1" applyNumberFormat="1">
      <alignment horizontal="left"/>
    </xf>
    <xf borderId="16" fillId="6" fontId="2" numFmtId="0" xfId="0" applyAlignment="1" applyBorder="1" applyFill="1" applyFont="1">
      <alignment horizontal="left"/>
    </xf>
    <xf borderId="14" fillId="6" fontId="2" numFmtId="0" xfId="0" applyAlignment="1" applyBorder="1" applyFont="1">
      <alignment horizontal="center"/>
    </xf>
    <xf borderId="4" fillId="0" fontId="12" numFmtId="0" xfId="0" applyAlignment="1" applyBorder="1" applyFont="1">
      <alignment horizontal="left"/>
    </xf>
    <xf borderId="17" fillId="0" fontId="13" numFmtId="0" xfId="0" applyAlignment="1" applyBorder="1" applyFont="1">
      <alignment horizontal="right" shrinkToFit="0" vertical="center" wrapText="1"/>
    </xf>
    <xf borderId="18" fillId="7" fontId="14" numFmtId="4" xfId="0" applyAlignment="1" applyBorder="1" applyFill="1" applyFont="1" applyNumberFormat="1">
      <alignment horizontal="center"/>
    </xf>
    <xf borderId="19" fillId="0" fontId="3" numFmtId="0" xfId="0" applyBorder="1" applyFont="1"/>
    <xf borderId="4" fillId="0" fontId="11" numFmtId="4" xfId="0" applyAlignment="1" applyBorder="1" applyFont="1" applyNumberFormat="1">
      <alignment horizontal="left"/>
    </xf>
    <xf borderId="4" fillId="0" fontId="15" numFmtId="0" xfId="0" applyAlignment="1" applyBorder="1" applyFont="1">
      <alignment horizontal="left"/>
    </xf>
    <xf borderId="0" fillId="0" fontId="16" numFmtId="0" xfId="0" applyAlignment="1" applyFont="1">
      <alignment shrinkToFit="0" vertical="bottom" wrapText="0"/>
    </xf>
    <xf borderId="0" fillId="0" fontId="16" numFmtId="168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right" shrinkToFit="0" vertical="bottom" wrapText="0"/>
    </xf>
    <xf borderId="4" fillId="0" fontId="15" numFmtId="0" xfId="0" applyAlignment="1" applyBorder="1" applyFont="1">
      <alignment horizontal="right"/>
    </xf>
    <xf borderId="0" fillId="8" fontId="17" numFmtId="0" xfId="0" applyAlignment="1" applyFill="1" applyFont="1">
      <alignment horizontal="center"/>
    </xf>
    <xf borderId="0" fillId="8" fontId="18" numFmtId="0" xfId="0" applyFont="1"/>
    <xf borderId="20" fillId="9" fontId="19" numFmtId="0" xfId="0" applyAlignment="1" applyBorder="1" applyFill="1" applyFont="1">
      <alignment horizontal="center" shrinkToFit="0" vertical="center" wrapText="1"/>
    </xf>
    <xf borderId="21" fillId="9" fontId="13" numFmtId="0" xfId="0" applyAlignment="1" applyBorder="1" applyFont="1">
      <alignment horizontal="left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7" fillId="10" fontId="19" numFmtId="0" xfId="0" applyAlignment="1" applyBorder="1" applyFill="1" applyFont="1">
      <alignment horizontal="center"/>
    </xf>
    <xf borderId="8" fillId="10" fontId="19" numFmtId="0" xfId="0" applyAlignment="1" applyBorder="1" applyFont="1">
      <alignment horizontal="center"/>
    </xf>
    <xf borderId="29" fillId="0" fontId="3" numFmtId="0" xfId="0" applyBorder="1" applyFont="1"/>
    <xf borderId="7" fillId="11" fontId="19" numFmtId="0" xfId="0" applyBorder="1" applyFill="1" applyFont="1"/>
    <xf borderId="7" fillId="11" fontId="19" numFmtId="0" xfId="0" applyAlignment="1" applyBorder="1" applyFont="1">
      <alignment horizontal="center"/>
    </xf>
    <xf borderId="7" fillId="11" fontId="19" numFmtId="169" xfId="0" applyAlignment="1" applyBorder="1" applyFont="1" applyNumberFormat="1">
      <alignment horizontal="center"/>
    </xf>
    <xf borderId="7" fillId="3" fontId="19" numFmtId="0" xfId="0" applyBorder="1" applyFont="1"/>
    <xf borderId="30" fillId="3" fontId="20" numFmtId="0" xfId="0" applyAlignment="1" applyBorder="1" applyFont="1">
      <alignment horizontal="center"/>
    </xf>
    <xf borderId="31" fillId="3" fontId="20" numFmtId="0" xfId="0" applyAlignment="1" applyBorder="1" applyFont="1">
      <alignment horizontal="center"/>
    </xf>
    <xf borderId="32" fillId="3" fontId="20" numFmtId="0" xfId="0" applyAlignment="1" applyBorder="1" applyFont="1">
      <alignment horizontal="center"/>
    </xf>
    <xf borderId="33" fillId="3" fontId="20" numFmtId="0" xfId="0" applyAlignment="1" applyBorder="1" applyFont="1">
      <alignment horizontal="center"/>
    </xf>
    <xf borderId="34" fillId="3" fontId="21" numFmtId="0" xfId="0" applyAlignment="1" applyBorder="1" applyFont="1">
      <alignment horizontal="center"/>
    </xf>
    <xf borderId="31" fillId="3" fontId="4" numFmtId="0" xfId="0" applyAlignment="1" applyBorder="1" applyFont="1">
      <alignment horizontal="center"/>
    </xf>
    <xf borderId="32" fillId="3" fontId="4" numFmtId="0" xfId="0" applyAlignment="1" applyBorder="1" applyFont="1">
      <alignment horizontal="center"/>
    </xf>
    <xf borderId="33" fillId="3" fontId="4" numFmtId="0" xfId="0" applyAlignment="1" applyBorder="1" applyFont="1">
      <alignment horizontal="center"/>
    </xf>
    <xf borderId="31" fillId="3" fontId="19" numFmtId="0" xfId="0" applyAlignment="1" applyBorder="1" applyFont="1">
      <alignment horizontal="center"/>
    </xf>
    <xf borderId="32" fillId="3" fontId="19" numFmtId="0" xfId="0" applyAlignment="1" applyBorder="1" applyFont="1">
      <alignment horizontal="center"/>
    </xf>
    <xf borderId="33" fillId="3" fontId="19" numFmtId="0" xfId="0" applyAlignment="1" applyBorder="1" applyFont="1">
      <alignment horizontal="center"/>
    </xf>
    <xf borderId="7" fillId="12" fontId="19" numFmtId="0" xfId="0" applyBorder="1" applyFill="1" applyFont="1"/>
    <xf borderId="35" fillId="12" fontId="20" numFmtId="0" xfId="0" applyAlignment="1" applyBorder="1" applyFont="1">
      <alignment horizontal="center"/>
    </xf>
    <xf borderId="3" fillId="12" fontId="20" numFmtId="0" xfId="0" applyAlignment="1" applyBorder="1" applyFont="1">
      <alignment horizontal="center"/>
    </xf>
    <xf borderId="4" fillId="12" fontId="20" numFmtId="0" xfId="0" applyAlignment="1" applyBorder="1" applyFont="1">
      <alignment horizontal="center"/>
    </xf>
    <xf borderId="1" fillId="12" fontId="20" numFmtId="0" xfId="0" applyAlignment="1" applyBorder="1" applyFont="1">
      <alignment horizontal="center"/>
    </xf>
    <xf borderId="36" fillId="12" fontId="21" numFmtId="0" xfId="0" applyAlignment="1" applyBorder="1" applyFont="1">
      <alignment horizontal="center"/>
    </xf>
    <xf borderId="3" fillId="12" fontId="4" numFmtId="0" xfId="0" applyAlignment="1" applyBorder="1" applyFont="1">
      <alignment horizontal="center"/>
    </xf>
    <xf borderId="4" fillId="12" fontId="4" numFmtId="0" xfId="0" applyAlignment="1" applyBorder="1" applyFont="1">
      <alignment horizontal="center"/>
    </xf>
    <xf borderId="1" fillId="12" fontId="4" numFmtId="0" xfId="0" applyAlignment="1" applyBorder="1" applyFont="1">
      <alignment horizontal="center"/>
    </xf>
    <xf borderId="3" fillId="12" fontId="19" numFmtId="0" xfId="0" applyAlignment="1" applyBorder="1" applyFont="1">
      <alignment horizontal="center"/>
    </xf>
    <xf borderId="4" fillId="12" fontId="19" numFmtId="0" xfId="0" applyAlignment="1" applyBorder="1" applyFont="1">
      <alignment horizontal="center"/>
    </xf>
    <xf borderId="1" fillId="12" fontId="19" numFmtId="0" xfId="0" applyAlignment="1" applyBorder="1" applyFont="1">
      <alignment horizontal="center"/>
    </xf>
    <xf borderId="7" fillId="13" fontId="19" numFmtId="0" xfId="0" applyBorder="1" applyFill="1" applyFont="1"/>
    <xf borderId="35" fillId="13" fontId="20" numFmtId="0" xfId="0" applyAlignment="1" applyBorder="1" applyFont="1">
      <alignment horizontal="center"/>
    </xf>
    <xf borderId="3" fillId="13" fontId="20" numFmtId="0" xfId="0" applyAlignment="1" applyBorder="1" applyFont="1">
      <alignment horizontal="center"/>
    </xf>
    <xf borderId="4" fillId="13" fontId="20" numFmtId="0" xfId="0" applyAlignment="1" applyBorder="1" applyFont="1">
      <alignment horizontal="center"/>
    </xf>
    <xf borderId="1" fillId="13" fontId="20" numFmtId="0" xfId="0" applyAlignment="1" applyBorder="1" applyFont="1">
      <alignment horizontal="center"/>
    </xf>
    <xf borderId="36" fillId="13" fontId="21" numFmtId="0" xfId="0" applyAlignment="1" applyBorder="1" applyFont="1">
      <alignment horizontal="center"/>
    </xf>
    <xf borderId="3" fillId="13" fontId="4" numFmtId="0" xfId="0" applyAlignment="1" applyBorder="1" applyFont="1">
      <alignment horizontal="center"/>
    </xf>
    <xf borderId="4" fillId="13" fontId="4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3" fillId="13" fontId="19" numFmtId="0" xfId="0" applyAlignment="1" applyBorder="1" applyFont="1">
      <alignment horizontal="center"/>
    </xf>
    <xf borderId="4" fillId="13" fontId="19" numFmtId="0" xfId="0" applyAlignment="1" applyBorder="1" applyFont="1">
      <alignment horizontal="center"/>
    </xf>
    <xf borderId="1" fillId="13" fontId="19" numFmtId="0" xfId="0" applyAlignment="1" applyBorder="1" applyFont="1">
      <alignment horizontal="center"/>
    </xf>
    <xf borderId="7" fillId="5" fontId="19" numFmtId="0" xfId="0" applyBorder="1" applyFont="1"/>
    <xf borderId="35" fillId="5" fontId="20" numFmtId="0" xfId="0" applyAlignment="1" applyBorder="1" applyFont="1">
      <alignment horizontal="center"/>
    </xf>
    <xf borderId="3" fillId="5" fontId="20" numFmtId="0" xfId="0" applyAlignment="1" applyBorder="1" applyFont="1">
      <alignment horizontal="center"/>
    </xf>
    <xf borderId="4" fillId="5" fontId="20" numFmtId="0" xfId="0" applyAlignment="1" applyBorder="1" applyFont="1">
      <alignment horizontal="center"/>
    </xf>
    <xf borderId="1" fillId="5" fontId="20" numFmtId="0" xfId="0" applyAlignment="1" applyBorder="1" applyFont="1">
      <alignment horizontal="center"/>
    </xf>
    <xf borderId="36" fillId="5" fontId="21" numFmtId="0" xfId="0" applyAlignment="1" applyBorder="1" applyFont="1">
      <alignment horizontal="center"/>
    </xf>
    <xf borderId="3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3" fillId="5" fontId="19" numFmtId="0" xfId="0" applyAlignment="1" applyBorder="1" applyFont="1">
      <alignment horizontal="center"/>
    </xf>
    <xf borderId="4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6" fontId="19" numFmtId="0" xfId="0" applyBorder="1" applyFont="1"/>
    <xf borderId="35" fillId="6" fontId="20" numFmtId="0" xfId="0" applyAlignment="1" applyBorder="1" applyFont="1">
      <alignment horizontal="center"/>
    </xf>
    <xf borderId="37" fillId="6" fontId="20" numFmtId="0" xfId="0" applyAlignment="1" applyBorder="1" applyFont="1">
      <alignment horizontal="center"/>
    </xf>
    <xf borderId="5" fillId="6" fontId="20" numFmtId="0" xfId="0" applyAlignment="1" applyBorder="1" applyFont="1">
      <alignment horizontal="center"/>
    </xf>
    <xf borderId="38" fillId="6" fontId="20" numFmtId="0" xfId="0" applyAlignment="1" applyBorder="1" applyFont="1">
      <alignment horizontal="center"/>
    </xf>
    <xf borderId="36" fillId="6" fontId="21" numFmtId="0" xfId="0" applyAlignment="1" applyBorder="1" applyFont="1">
      <alignment horizontal="center"/>
    </xf>
    <xf borderId="37" fillId="6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38" fillId="6" fontId="4" numFmtId="0" xfId="0" applyAlignment="1" applyBorder="1" applyFont="1">
      <alignment horizontal="center"/>
    </xf>
    <xf borderId="39" fillId="6" fontId="21" numFmtId="0" xfId="0" applyAlignment="1" applyBorder="1" applyFont="1">
      <alignment horizontal="center"/>
    </xf>
    <xf borderId="39" fillId="6" fontId="19" numFmtId="0" xfId="0" applyAlignment="1" applyBorder="1" applyFont="1">
      <alignment horizontal="center"/>
    </xf>
    <xf borderId="37" fillId="6" fontId="19" numFmtId="0" xfId="0" applyAlignment="1" applyBorder="1" applyFont="1">
      <alignment horizontal="center"/>
    </xf>
    <xf borderId="5" fillId="6" fontId="19" numFmtId="0" xfId="0" applyAlignment="1" applyBorder="1" applyFont="1">
      <alignment horizontal="center"/>
    </xf>
    <xf borderId="38" fillId="6" fontId="19" numFmtId="0" xfId="0" applyAlignment="1" applyBorder="1" applyFont="1">
      <alignment horizontal="center"/>
    </xf>
    <xf borderId="7" fillId="0" fontId="22" numFmtId="0" xfId="0" applyBorder="1" applyFont="1"/>
    <xf borderId="40" fillId="14" fontId="22" numFmtId="0" xfId="0" applyAlignment="1" applyBorder="1" applyFill="1" applyFont="1">
      <alignment horizontal="center"/>
    </xf>
    <xf borderId="41" fillId="14" fontId="22" numFmtId="0" xfId="0" applyAlignment="1" applyBorder="1" applyFont="1">
      <alignment horizontal="center"/>
    </xf>
    <xf borderId="14" fillId="14" fontId="22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6" fillId="14" fontId="22" numFmtId="0" xfId="0" applyAlignment="1" applyBorder="1" applyFont="1">
      <alignment horizontal="center"/>
    </xf>
    <xf borderId="14" fillId="14" fontId="23" numFmtId="0" xfId="0" applyAlignment="1" applyBorder="1" applyFont="1">
      <alignment horizontal="center"/>
    </xf>
    <xf borderId="0" fillId="0" fontId="4" numFmtId="0" xfId="0" applyFont="1"/>
    <xf borderId="0" fillId="0" fontId="24" numFmtId="0" xfId="0" applyFont="1"/>
    <xf borderId="1" fillId="0" fontId="4" numFmtId="0" xfId="0" applyBorder="1" applyFont="1"/>
    <xf borderId="38" fillId="0" fontId="5" numFmtId="0" xfId="0" applyBorder="1" applyFont="1"/>
    <xf borderId="44" fillId="0" fontId="3" numFmtId="0" xfId="0" applyBorder="1" applyFont="1"/>
    <xf borderId="37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33" fillId="0" fontId="3" numFmtId="0" xfId="0" applyBorder="1" applyFont="1"/>
    <xf borderId="47" fillId="0" fontId="3" numFmtId="0" xfId="0" applyBorder="1" applyFont="1"/>
    <xf borderId="31" fillId="0" fontId="3" numFmtId="0" xfId="0" applyBorder="1" applyFont="1"/>
    <xf borderId="8" fillId="11" fontId="19" numFmtId="0" xfId="0" applyAlignment="1" applyBorder="1" applyFont="1">
      <alignment horizontal="center"/>
    </xf>
    <xf borderId="48" fillId="3" fontId="21" numFmtId="0" xfId="0" applyAlignment="1" applyBorder="1" applyFont="1">
      <alignment horizontal="center"/>
    </xf>
    <xf borderId="49" fillId="0" fontId="3" numFmtId="0" xfId="0" applyBorder="1" applyFont="1"/>
    <xf borderId="30" fillId="0" fontId="3" numFmtId="0" xfId="0" applyBorder="1" applyFont="1"/>
    <xf borderId="50" fillId="12" fontId="21" numFmtId="0" xfId="0" applyAlignment="1" applyBorder="1" applyFont="1">
      <alignment horizontal="center"/>
    </xf>
    <xf borderId="51" fillId="0" fontId="3" numFmtId="0" xfId="0" applyBorder="1" applyFont="1"/>
    <xf borderId="35" fillId="0" fontId="3" numFmtId="0" xfId="0" applyBorder="1" applyFont="1"/>
    <xf borderId="50" fillId="13" fontId="21" numFmtId="0" xfId="0" applyAlignment="1" applyBorder="1" applyFont="1">
      <alignment horizontal="center"/>
    </xf>
    <xf borderId="52" fillId="13" fontId="21" numFmtId="0" xfId="0" applyAlignment="1" applyBorder="1" applyFont="1">
      <alignment horizontal="center"/>
    </xf>
    <xf borderId="53" fillId="0" fontId="3" numFmtId="0" xfId="0" applyBorder="1" applyFont="1"/>
    <xf borderId="54" fillId="0" fontId="3" numFmtId="0" xfId="0" applyBorder="1" applyFont="1"/>
    <xf borderId="48" fillId="0" fontId="3" numFmtId="0" xfId="0" applyBorder="1" applyFont="1"/>
    <xf borderId="50" fillId="5" fontId="21" numFmtId="0" xfId="0" applyAlignment="1" applyBorder="1" applyFont="1">
      <alignment horizontal="center"/>
    </xf>
    <xf borderId="52" fillId="5" fontId="21" numFmtId="0" xfId="0" applyAlignment="1" applyBorder="1" applyFont="1">
      <alignment horizontal="center"/>
    </xf>
    <xf borderId="39" fillId="5" fontId="21" numFmtId="0" xfId="0" applyAlignment="1" applyBorder="1" applyFont="1">
      <alignment horizontal="center"/>
    </xf>
    <xf borderId="50" fillId="6" fontId="21" numFmtId="0" xfId="0" applyAlignment="1" applyBorder="1" applyFont="1">
      <alignment horizontal="center"/>
    </xf>
    <xf borderId="52" fillId="6" fontId="21" numFmtId="0" xfId="0" applyAlignment="1" applyBorder="1" applyFont="1">
      <alignment horizontal="center"/>
    </xf>
    <xf borderId="52" fillId="6" fontId="19" numFmtId="0" xfId="0" applyAlignment="1" applyBorder="1" applyFont="1">
      <alignment horizontal="center"/>
    </xf>
    <xf borderId="4" fillId="6" fontId="19" numFmtId="0" xfId="0" applyAlignment="1" applyBorder="1" applyFont="1">
      <alignment horizontal="center"/>
    </xf>
    <xf borderId="4" fillId="6" fontId="21" numFmtId="0" xfId="0" applyAlignment="1" applyBorder="1" applyFont="1">
      <alignment horizontal="center"/>
    </xf>
    <xf borderId="0" fillId="6" fontId="20" numFmtId="0" xfId="0" applyAlignment="1" applyFont="1">
      <alignment horizontal="center"/>
    </xf>
    <xf borderId="0" fillId="6" fontId="21" numFmtId="0" xfId="0" applyAlignment="1" applyFont="1">
      <alignment horizontal="center"/>
    </xf>
    <xf borderId="0" fillId="5" fontId="21" numFmtId="0" xfId="0" applyAlignment="1" applyFont="1">
      <alignment horizontal="center"/>
    </xf>
    <xf borderId="0" fillId="6" fontId="19" numFmtId="0" xfId="0" applyAlignment="1" applyFont="1">
      <alignment horizontal="center"/>
    </xf>
    <xf borderId="0" fillId="6" fontId="19" numFmtId="170" xfId="0" applyAlignment="1" applyFont="1" applyNumberFormat="1">
      <alignment horizontal="center"/>
    </xf>
    <xf borderId="55" fillId="14" fontId="22" numFmtId="0" xfId="0" applyAlignment="1" applyBorder="1" applyFont="1">
      <alignment horizontal="center"/>
    </xf>
    <xf borderId="56" fillId="0" fontId="3" numFmtId="0" xfId="0" applyBorder="1" applyFont="1"/>
    <xf borderId="40" fillId="0" fontId="3" numFmtId="0" xfId="0" applyBorder="1" applyFont="1"/>
    <xf borderId="9" fillId="11" fontId="19" numFmtId="0" xfId="0" applyAlignment="1" applyBorder="1" applyFont="1">
      <alignment horizontal="center"/>
    </xf>
    <xf borderId="49" fillId="3" fontId="20" numFmtId="0" xfId="0" applyAlignment="1" applyBorder="1" applyFont="1">
      <alignment horizontal="center"/>
    </xf>
    <xf borderId="34" fillId="3" fontId="20" numFmtId="0" xfId="0" applyAlignment="1" applyBorder="1" applyFont="1">
      <alignment horizontal="center"/>
    </xf>
    <xf borderId="34" fillId="3" fontId="25" numFmtId="0" xfId="0" applyAlignment="1" applyBorder="1" applyFont="1">
      <alignment horizontal="center"/>
    </xf>
    <xf borderId="51" fillId="12" fontId="20" numFmtId="0" xfId="0" applyAlignment="1" applyBorder="1" applyFont="1">
      <alignment horizontal="center"/>
    </xf>
    <xf borderId="36" fillId="12" fontId="20" numFmtId="0" xfId="0" applyAlignment="1" applyBorder="1" applyFont="1">
      <alignment horizontal="center"/>
    </xf>
    <xf borderId="36" fillId="12" fontId="25" numFmtId="0" xfId="0" applyAlignment="1" applyBorder="1" applyFont="1">
      <alignment horizontal="center"/>
    </xf>
    <xf borderId="7" fillId="4" fontId="19" numFmtId="0" xfId="0" applyBorder="1" applyFont="1"/>
    <xf borderId="51" fillId="4" fontId="20" numFmtId="0" xfId="0" applyAlignment="1" applyBorder="1" applyFont="1">
      <alignment horizontal="center"/>
    </xf>
    <xf borderId="36" fillId="4" fontId="20" numFmtId="0" xfId="0" applyAlignment="1" applyBorder="1" applyFont="1">
      <alignment horizontal="center"/>
    </xf>
    <xf borderId="3" fillId="4" fontId="20" numFmtId="0" xfId="0" applyAlignment="1" applyBorder="1" applyFont="1">
      <alignment horizontal="center"/>
    </xf>
    <xf borderId="4" fillId="4" fontId="20" numFmtId="0" xfId="0" applyAlignment="1" applyBorder="1" applyFont="1">
      <alignment horizontal="center"/>
    </xf>
    <xf borderId="1" fillId="4" fontId="20" numFmtId="0" xfId="0" applyAlignment="1" applyBorder="1" applyFont="1">
      <alignment horizontal="center"/>
    </xf>
    <xf borderId="36" fillId="4" fontId="21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36" fillId="4" fontId="25" numFmtId="0" xfId="0" applyAlignment="1" applyBorder="1" applyFont="1">
      <alignment horizontal="center"/>
    </xf>
    <xf borderId="51" fillId="5" fontId="20" numFmtId="0" xfId="0" applyAlignment="1" applyBorder="1" applyFont="1">
      <alignment horizontal="center"/>
    </xf>
    <xf borderId="36" fillId="5" fontId="20" numFmtId="0" xfId="0" applyBorder="1" applyFont="1"/>
    <xf borderId="36" fillId="5" fontId="20" numFmtId="0" xfId="0" applyAlignment="1" applyBorder="1" applyFont="1">
      <alignment horizontal="center"/>
    </xf>
    <xf borderId="37" fillId="5" fontId="20" numFmtId="0" xfId="0" applyAlignment="1" applyBorder="1" applyFont="1">
      <alignment horizontal="center"/>
    </xf>
    <xf borderId="5" fillId="5" fontId="20" numFmtId="0" xfId="0" applyAlignment="1" applyBorder="1" applyFont="1">
      <alignment horizontal="center"/>
    </xf>
    <xf borderId="38" fillId="5" fontId="20" numFmtId="0" xfId="0" applyAlignment="1" applyBorder="1" applyFont="1">
      <alignment horizontal="center"/>
    </xf>
    <xf borderId="36" fillId="5" fontId="25" numFmtId="0" xfId="0" applyAlignment="1" applyBorder="1" applyFont="1">
      <alignment horizontal="center"/>
    </xf>
    <xf borderId="50" fillId="5" fontId="20" numFmtId="0" xfId="0" applyAlignment="1" applyBorder="1" applyFont="1">
      <alignment horizontal="center"/>
    </xf>
    <xf borderId="36" fillId="6" fontId="20" numFmtId="0" xfId="0" applyAlignment="1" applyBorder="1" applyFont="1">
      <alignment horizontal="center"/>
    </xf>
    <xf borderId="50" fillId="6" fontId="20" numFmtId="0" xfId="0" applyAlignment="1" applyBorder="1" applyFont="1">
      <alignment horizontal="center"/>
    </xf>
    <xf borderId="36" fillId="6" fontId="25" numFmtId="0" xfId="0" applyAlignment="1" applyBorder="1" applyFont="1">
      <alignment horizontal="center"/>
    </xf>
    <xf borderId="7" fillId="0" fontId="22" numFmtId="0" xfId="0" applyBorder="1" applyFont="1"/>
    <xf borderId="40" fillId="0" fontId="22" numFmtId="0" xfId="0" applyAlignment="1" applyBorder="1" applyFont="1">
      <alignment horizontal="center"/>
    </xf>
    <xf borderId="41" fillId="0" fontId="22" numFmtId="0" xfId="0" applyAlignment="1" applyBorder="1" applyFont="1">
      <alignment horizontal="center"/>
    </xf>
    <xf borderId="14" fillId="0" fontId="22" numFmtId="0" xfId="0" applyAlignment="1" applyBorder="1" applyFont="1">
      <alignment horizontal="center"/>
    </xf>
    <xf borderId="41" fillId="0" fontId="6" numFmtId="0" xfId="0" applyAlignment="1" applyBorder="1" applyFont="1">
      <alignment horizontal="center"/>
    </xf>
    <xf borderId="57" fillId="0" fontId="5" numFmtId="0" xfId="0" applyBorder="1" applyFont="1"/>
    <xf borderId="57" fillId="15" fontId="26" numFmtId="0" xfId="0" applyAlignment="1" applyBorder="1" applyFill="1" applyFont="1">
      <alignment horizontal="center" shrinkToFit="0" vertical="center" wrapText="0"/>
    </xf>
    <xf borderId="57" fillId="15" fontId="27" numFmtId="0" xfId="0" applyAlignment="1" applyBorder="1" applyFont="1">
      <alignment horizontal="center" shrinkToFit="0" vertical="center" wrapText="0"/>
    </xf>
    <xf borderId="57" fillId="0" fontId="28" numFmtId="0" xfId="0" applyBorder="1" applyFont="1"/>
    <xf borderId="58" fillId="0" fontId="29" numFmtId="0" xfId="0" applyAlignment="1" applyBorder="1" applyFont="1">
      <alignment horizontal="center" shrinkToFit="0" vertical="center" wrapText="0"/>
    </xf>
    <xf borderId="59" fillId="0" fontId="30" numFmtId="0" xfId="0" applyAlignment="1" applyBorder="1" applyFont="1">
      <alignment horizontal="center" shrinkToFit="0" vertical="center" wrapText="0"/>
    </xf>
    <xf borderId="0" fillId="0" fontId="28" numFmtId="0" xfId="0" applyFont="1"/>
    <xf borderId="57" fillId="15" fontId="31" numFmtId="0" xfId="0" applyAlignment="1" applyBorder="1" applyFont="1">
      <alignment horizontal="left" shrinkToFit="0" vertical="center" wrapText="0"/>
    </xf>
    <xf borderId="57" fillId="7" fontId="28" numFmtId="0" xfId="0" applyAlignment="1" applyBorder="1" applyFont="1">
      <alignment horizontal="center" shrinkToFit="0" vertical="center" wrapText="0"/>
    </xf>
    <xf borderId="58" fillId="0" fontId="32" numFmtId="0" xfId="0" applyAlignment="1" applyBorder="1" applyFont="1">
      <alignment horizontal="left" shrinkToFit="0" vertical="center" wrapText="0"/>
    </xf>
    <xf borderId="59" fillId="7" fontId="33" numFmtId="0" xfId="0" applyAlignment="1" applyBorder="1" applyFont="1">
      <alignment horizontal="center" shrinkToFit="0" vertical="center" wrapText="0"/>
    </xf>
    <xf borderId="4" fillId="16" fontId="34" numFmtId="0" xfId="0" applyAlignment="1" applyBorder="1" applyFill="1" applyFont="1">
      <alignment horizontal="center"/>
    </xf>
    <xf borderId="4" fillId="0" fontId="34" numFmtId="0" xfId="0" applyAlignment="1" applyBorder="1" applyFont="1">
      <alignment horizontal="center"/>
    </xf>
    <xf borderId="57" fillId="7" fontId="28" numFmtId="0" xfId="0" applyBorder="1" applyFont="1"/>
    <xf borderId="57" fillId="15" fontId="31" numFmtId="0" xfId="0" applyBorder="1" applyFont="1"/>
    <xf borderId="60" fillId="7" fontId="28" numFmtId="0" xfId="0" applyBorder="1" applyFont="1"/>
    <xf borderId="61" fillId="0" fontId="3" numFmtId="0" xfId="0" applyBorder="1" applyFont="1"/>
    <xf borderId="62" fillId="0" fontId="3" numFmtId="0" xfId="0" applyBorder="1" applyFont="1"/>
    <xf borderId="4" fillId="0" fontId="4" numFmtId="0" xfId="0" applyAlignment="1" applyBorder="1" applyFont="1">
      <alignment horizontal="center"/>
    </xf>
    <xf borderId="57" fillId="15" fontId="35" numFmtId="0" xfId="0" applyAlignment="1" applyBorder="1" applyFont="1">
      <alignment horizontal="center"/>
    </xf>
    <xf borderId="57" fillId="7" fontId="28" numFmtId="0" xfId="0" applyAlignment="1" applyBorder="1" applyFont="1">
      <alignment horizontal="center"/>
    </xf>
    <xf borderId="0" fillId="7" fontId="28" numFmtId="0" xfId="0" applyFont="1"/>
    <xf borderId="59" fillId="0" fontId="36" numFmtId="0" xfId="0" applyAlignment="1" applyBorder="1" applyFont="1">
      <alignment horizontal="center"/>
    </xf>
    <xf borderId="59" fillId="7" fontId="33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63" fillId="0" fontId="5" numFmtId="0" xfId="0" applyBorder="1" applyFont="1"/>
    <xf borderId="64" fillId="15" fontId="37" numFmtId="0" xfId="0" applyAlignment="1" applyBorder="1" applyFont="1">
      <alignment horizontal="center" vertical="center"/>
    </xf>
    <xf borderId="65" fillId="15" fontId="37" numFmtId="0" xfId="0" applyAlignment="1" applyBorder="1" applyFont="1">
      <alignment horizontal="center" vertical="center"/>
    </xf>
    <xf borderId="66" fillId="15" fontId="38" numFmtId="0" xfId="0" applyAlignment="1" applyBorder="1" applyFont="1">
      <alignment horizontal="center" vertical="center"/>
    </xf>
    <xf borderId="4" fillId="15" fontId="38" numFmtId="0" xfId="0" applyAlignment="1" applyBorder="1" applyFont="1">
      <alignment horizontal="center" shrinkToFit="0" vertical="center" wrapText="1"/>
    </xf>
    <xf borderId="67" fillId="15" fontId="39" numFmtId="0" xfId="0" applyAlignment="1" applyBorder="1" applyFont="1">
      <alignment horizontal="center" shrinkToFit="0" vertical="center" wrapText="0"/>
    </xf>
    <xf borderId="67" fillId="15" fontId="40" numFmtId="0" xfId="0" applyAlignment="1" applyBorder="1" applyFont="1">
      <alignment horizontal="center" shrinkToFit="0" vertical="center" wrapText="0"/>
    </xf>
    <xf borderId="64" fillId="2" fontId="41" numFmtId="0" xfId="0" applyAlignment="1" applyBorder="1" applyFont="1">
      <alignment horizontal="center"/>
    </xf>
    <xf borderId="66" fillId="2" fontId="34" numFmtId="0" xfId="0" applyAlignment="1" applyBorder="1" applyFont="1">
      <alignment horizontal="center"/>
    </xf>
    <xf borderId="4" fillId="2" fontId="34" numFmtId="0" xfId="0" applyAlignment="1" applyBorder="1" applyFont="1">
      <alignment horizontal="center"/>
    </xf>
    <xf borderId="67" fillId="15" fontId="42" numFmtId="0" xfId="0" applyAlignment="1" applyBorder="1" applyFont="1">
      <alignment horizontal="left" shrinkToFit="0" vertical="center" wrapText="0"/>
    </xf>
    <xf borderId="67" fillId="7" fontId="43" numFmtId="0" xfId="0" applyAlignment="1" applyBorder="1" applyFont="1">
      <alignment horizontal="center" shrinkToFit="0" vertical="center" wrapText="0"/>
    </xf>
    <xf borderId="68" fillId="0" fontId="4" numFmtId="0" xfId="0" applyBorder="1" applyFont="1"/>
    <xf borderId="69" fillId="0" fontId="4" numFmtId="0" xfId="0" applyBorder="1" applyFont="1"/>
    <xf borderId="67" fillId="15" fontId="44" numFmtId="0" xfId="0" applyAlignment="1" applyBorder="1" applyFont="1">
      <alignment horizontal="center"/>
    </xf>
    <xf borderId="67" fillId="7" fontId="43" numFmtId="0" xfId="0" applyAlignment="1" applyBorder="1" applyFont="1">
      <alignment horizontal="center"/>
    </xf>
    <xf borderId="70" fillId="15" fontId="45" numFmtId="0" xfId="0" applyAlignment="1" applyBorder="1" applyFont="1">
      <alignment horizontal="left" shrinkToFit="0" vertical="center" wrapText="0"/>
    </xf>
    <xf borderId="70" fillId="7" fontId="45" numFmtId="0" xfId="0" applyAlignment="1" applyBorder="1" applyFont="1">
      <alignment horizontal="center" shrinkToFit="0" vertical="center" wrapText="0"/>
    </xf>
    <xf borderId="0" fillId="7" fontId="46" numFmtId="0" xfId="0" applyAlignment="1" applyFont="1">
      <alignment horizontal="center"/>
    </xf>
    <xf borderId="70" fillId="15" fontId="47" numFmtId="0" xfId="0" applyAlignment="1" applyBorder="1" applyFont="1">
      <alignment horizontal="center"/>
    </xf>
    <xf borderId="70" fillId="7" fontId="48" numFmtId="0" xfId="0" applyAlignment="1" applyBorder="1" applyFont="1">
      <alignment horizontal="center"/>
    </xf>
    <xf borderId="64" fillId="15" fontId="49" numFmtId="0" xfId="0" applyAlignment="1" applyBorder="1" applyFont="1">
      <alignment horizontal="center" vertical="center"/>
    </xf>
    <xf borderId="71" fillId="15" fontId="49" numFmtId="0" xfId="0" applyAlignment="1" applyBorder="1" applyFont="1">
      <alignment horizontal="center" vertical="center"/>
    </xf>
    <xf borderId="0" fillId="15" fontId="37" numFmtId="0" xfId="0" applyAlignment="1" applyFont="1">
      <alignment horizontal="center" vertical="center"/>
    </xf>
    <xf borderId="1" fillId="0" fontId="24" numFmtId="0" xfId="0" applyAlignment="1" applyBorder="1" applyFont="1">
      <alignment horizontal="center" shrinkToFit="0" wrapText="1"/>
    </xf>
    <xf borderId="1" fillId="0" fontId="24" numFmtId="0" xfId="0" applyBorder="1" applyFont="1"/>
    <xf borderId="2" fillId="0" fontId="2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71" xfId="0" applyAlignment="1" applyBorder="1" applyFont="1" applyNumberFormat="1">
      <alignment horizontal="center"/>
    </xf>
    <xf borderId="1" fillId="0" fontId="5" numFmtId="17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-28575</xdr:rowOff>
    </xdr:from>
    <xdr:ext cx="5029200" cy="1533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-19050</xdr:rowOff>
    </xdr:from>
    <xdr:ext cx="4410075" cy="1333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581025</xdr:colOff>
      <xdr:row>11</xdr:row>
      <xdr:rowOff>180975</xdr:rowOff>
    </xdr:from>
    <xdr:ext cx="4991100" cy="6477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57150</xdr:rowOff>
    </xdr:from>
    <xdr:ext cx="7296150" cy="96107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</xdr:row>
      <xdr:rowOff>0</xdr:rowOff>
    </xdr:from>
    <xdr:ext cx="3352800" cy="4286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11</xdr:row>
      <xdr:rowOff>180975</xdr:rowOff>
    </xdr:from>
    <xdr:ext cx="4991100" cy="6477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</xdr:row>
      <xdr:rowOff>0</xdr:rowOff>
    </xdr:from>
    <xdr:ext cx="4610100" cy="6191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</xdr:row>
      <xdr:rowOff>0</xdr:rowOff>
    </xdr:from>
    <xdr:ext cx="2638425" cy="82867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</xdr:row>
      <xdr:rowOff>0</xdr:rowOff>
    </xdr:from>
    <xdr:ext cx="2638425" cy="8382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</xdr:row>
      <xdr:rowOff>0</xdr:rowOff>
    </xdr:from>
    <xdr:ext cx="2638425" cy="7715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29</xdr:row>
      <xdr:rowOff>0</xdr:rowOff>
    </xdr:from>
    <xdr:ext cx="2543175" cy="771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3.43"/>
    <col customWidth="1" min="3" max="3" width="14.71"/>
    <col customWidth="1" min="4" max="4" width="11.14"/>
    <col customWidth="1" min="5" max="6" width="15.0"/>
    <col customWidth="1" min="7" max="7" width="34.29"/>
    <col customWidth="1" min="8" max="18" width="10.71"/>
  </cols>
  <sheetData>
    <row r="1" ht="37.5" customHeight="1">
      <c r="A1" s="1" t="s">
        <v>0</v>
      </c>
    </row>
    <row r="2" ht="18.0" customHeight="1">
      <c r="A2" s="2" t="s">
        <v>1</v>
      </c>
      <c r="B2" s="3"/>
      <c r="C2" s="3"/>
      <c r="D2" s="3"/>
      <c r="E2" s="3"/>
      <c r="F2" s="3"/>
      <c r="G2" s="4"/>
      <c r="J2" s="5" t="s">
        <v>2</v>
      </c>
      <c r="M2" s="6" t="s">
        <v>3</v>
      </c>
      <c r="R2" s="7" t="s">
        <v>4</v>
      </c>
    </row>
    <row r="3">
      <c r="A3" s="8" t="s">
        <v>5</v>
      </c>
      <c r="B3" s="9" t="s">
        <v>6</v>
      </c>
      <c r="C3" s="4"/>
      <c r="D3" s="8" t="s">
        <v>7</v>
      </c>
      <c r="E3" s="10" t="s">
        <v>8</v>
      </c>
      <c r="F3" s="9" t="s">
        <v>9</v>
      </c>
      <c r="G3" s="11" t="s">
        <v>10</v>
      </c>
      <c r="M3" s="12">
        <v>1000.0</v>
      </c>
    </row>
    <row r="4" ht="23.25" customHeight="1">
      <c r="A4" s="13" t="s">
        <v>11</v>
      </c>
      <c r="B4" s="2" t="str">
        <f>B13*O13/O12</f>
        <v>5160</v>
      </c>
      <c r="C4" s="4"/>
      <c r="D4" s="14" t="s">
        <v>12</v>
      </c>
      <c r="E4" s="2" t="str">
        <f>B15*M33/M32</f>
        <v>0</v>
      </c>
      <c r="F4" s="2" t="str">
        <f>B14*N7/N6</f>
        <v>30863</v>
      </c>
      <c r="G4" s="15" t="str">
        <f t="shared" ref="G4:G8" si="1">SUM(B4:F4)</f>
        <v>36023.000</v>
      </c>
      <c r="H4" s="13" t="s">
        <v>11</v>
      </c>
      <c r="M4" s="12">
        <v>17.0</v>
      </c>
    </row>
    <row r="5">
      <c r="A5" s="13" t="s">
        <v>13</v>
      </c>
      <c r="B5" s="2" t="s">
        <v>12</v>
      </c>
      <c r="C5" s="4"/>
      <c r="D5" s="14" t="str">
        <f>B17*M28/M26</f>
        <v>47.8</v>
      </c>
      <c r="E5" s="2">
        <v>0.0</v>
      </c>
      <c r="F5" s="16" t="str">
        <f>B14*M4/M3</f>
        <v>75</v>
      </c>
      <c r="G5" s="17" t="str">
        <f t="shared" si="1"/>
        <v>122.8</v>
      </c>
      <c r="H5" s="13" t="s">
        <v>13</v>
      </c>
      <c r="J5" s="5" t="s">
        <v>14</v>
      </c>
      <c r="M5" s="12" t="s">
        <v>15</v>
      </c>
      <c r="N5" s="12" t="s">
        <v>16</v>
      </c>
    </row>
    <row r="6">
      <c r="A6" s="13" t="s">
        <v>17</v>
      </c>
      <c r="B6" s="16" t="str">
        <f>B13*M13/M12</f>
        <v>37420</v>
      </c>
      <c r="C6" s="4"/>
      <c r="D6" s="14" t="s">
        <v>12</v>
      </c>
      <c r="E6" s="2">
        <v>0.0</v>
      </c>
      <c r="F6" s="2" t="str">
        <f>B14*M7/M6</f>
        <v>1190430</v>
      </c>
      <c r="G6" s="18" t="str">
        <f t="shared" si="1"/>
        <v>1227850</v>
      </c>
      <c r="H6" s="13" t="s">
        <v>17</v>
      </c>
      <c r="M6" s="12">
        <v>1000.0</v>
      </c>
      <c r="N6" s="12">
        <v>1000.0</v>
      </c>
    </row>
    <row r="7">
      <c r="A7" s="13" t="s">
        <v>18</v>
      </c>
      <c r="B7" s="2" t="str">
        <f>B13*P13/P12</f>
        <v>2064</v>
      </c>
      <c r="C7" s="4"/>
      <c r="D7" s="14" t="s">
        <v>12</v>
      </c>
      <c r="E7" s="2">
        <v>0.0</v>
      </c>
      <c r="F7" s="2" t="s">
        <v>12</v>
      </c>
      <c r="G7" s="19" t="str">
        <f t="shared" si="1"/>
        <v>2064</v>
      </c>
      <c r="H7" s="13" t="s">
        <v>18</v>
      </c>
      <c r="M7" s="12">
        <v>270000.0</v>
      </c>
      <c r="N7" s="12">
        <v>7000.0</v>
      </c>
    </row>
    <row r="8">
      <c r="A8" s="13" t="s">
        <v>19</v>
      </c>
      <c r="B8" s="2" t="str">
        <f>B13*N13/N12</f>
        <v>2580</v>
      </c>
      <c r="C8" s="4"/>
      <c r="D8" s="14" t="s">
        <v>12</v>
      </c>
      <c r="E8" s="2" t="str">
        <f>B15*M36/M35</f>
        <v>0</v>
      </c>
      <c r="F8" s="2" t="str">
        <f>B14*N7/N6</f>
        <v>30863</v>
      </c>
      <c r="G8" s="18" t="str">
        <f t="shared" si="1"/>
        <v>33443</v>
      </c>
      <c r="H8" s="13" t="s">
        <v>19</v>
      </c>
    </row>
    <row r="9" ht="15.0" customHeight="1">
      <c r="G9" s="20"/>
      <c r="J9" s="5"/>
      <c r="K9" s="5"/>
      <c r="L9" s="5"/>
      <c r="M9" s="12"/>
      <c r="N9" s="12"/>
      <c r="O9" s="12"/>
      <c r="P9" s="12"/>
    </row>
    <row r="10" ht="15.0" customHeight="1">
      <c r="J10" s="5"/>
      <c r="K10" s="5"/>
      <c r="L10" s="5"/>
      <c r="M10" s="12"/>
      <c r="N10" s="12"/>
      <c r="O10" s="12"/>
      <c r="P10" s="12"/>
    </row>
    <row r="11">
      <c r="A11" s="21" t="s">
        <v>20</v>
      </c>
      <c r="G11" s="22"/>
      <c r="J11" s="5" t="s">
        <v>21</v>
      </c>
      <c r="M11" s="12" t="s">
        <v>15</v>
      </c>
      <c r="N11" s="12" t="s">
        <v>22</v>
      </c>
      <c r="O11" s="12" t="s">
        <v>16</v>
      </c>
      <c r="P11" s="12" t="s">
        <v>23</v>
      </c>
    </row>
    <row r="12">
      <c r="A12" s="23" t="s">
        <v>24</v>
      </c>
      <c r="B12" s="24" t="s">
        <v>25</v>
      </c>
      <c r="C12" s="25"/>
      <c r="F12" s="6" t="s">
        <v>26</v>
      </c>
      <c r="M12" s="12">
        <v>1.0</v>
      </c>
      <c r="N12" s="12">
        <v>1.0</v>
      </c>
      <c r="O12" s="12">
        <v>1.0</v>
      </c>
      <c r="P12" s="12">
        <v>500.0</v>
      </c>
    </row>
    <row r="13">
      <c r="A13" s="26" t="s">
        <v>27</v>
      </c>
      <c r="B13" s="27">
        <v>1032.0</v>
      </c>
      <c r="C13" s="28"/>
      <c r="F13" s="29"/>
      <c r="M13" s="12">
        <v>36.26</v>
      </c>
      <c r="N13" s="12">
        <v>2.5</v>
      </c>
      <c r="O13" s="12">
        <v>5.0</v>
      </c>
      <c r="P13" s="12">
        <v>1000.0</v>
      </c>
    </row>
    <row r="14">
      <c r="A14" s="30" t="s">
        <v>28</v>
      </c>
      <c r="B14" s="31">
        <v>4409.0</v>
      </c>
      <c r="C14" s="32"/>
    </row>
    <row r="15">
      <c r="A15" s="33" t="s">
        <v>29</v>
      </c>
      <c r="B15" s="34"/>
      <c r="C15" s="32"/>
      <c r="E15" s="35" t="s">
        <v>30</v>
      </c>
      <c r="F15" s="35" t="s">
        <v>31</v>
      </c>
      <c r="G15" s="35"/>
    </row>
    <row r="16">
      <c r="A16" s="33" t="s">
        <v>32</v>
      </c>
      <c r="B16" s="36">
        <v>9.0</v>
      </c>
      <c r="C16" s="32"/>
      <c r="E16" s="37" t="s">
        <v>33</v>
      </c>
      <c r="F16" s="38">
        <v>4377.0</v>
      </c>
      <c r="G16" s="37"/>
      <c r="J16" s="5" t="s">
        <v>34</v>
      </c>
    </row>
    <row r="17">
      <c r="A17" s="39" t="s">
        <v>35</v>
      </c>
      <c r="B17" s="40">
        <v>478.0</v>
      </c>
      <c r="C17" s="32"/>
      <c r="E17" s="37" t="s">
        <v>36</v>
      </c>
      <c r="F17" s="41">
        <v>32.0</v>
      </c>
      <c r="G17" s="37"/>
    </row>
    <row r="18">
      <c r="A18" s="42" t="s">
        <v>37</v>
      </c>
      <c r="B18" s="43" t="str">
        <f>SUM(B13:B17)</f>
        <v>5,928.00</v>
      </c>
      <c r="C18" s="44"/>
      <c r="E18" s="37" t="s">
        <v>38</v>
      </c>
      <c r="F18" s="37" t="s">
        <v>39</v>
      </c>
      <c r="G18" s="45"/>
    </row>
    <row r="19">
      <c r="C19" s="6" t="s">
        <v>40</v>
      </c>
      <c r="E19" s="37" t="s">
        <v>41</v>
      </c>
      <c r="F19" s="37" t="s">
        <v>42</v>
      </c>
      <c r="G19" s="46"/>
    </row>
    <row r="20">
      <c r="E20" s="37" t="s">
        <v>43</v>
      </c>
      <c r="F20" s="37" t="s">
        <v>44</v>
      </c>
    </row>
    <row r="21" ht="15.75" customHeight="1">
      <c r="B21" s="47"/>
      <c r="C21" s="47"/>
      <c r="D21" s="47"/>
      <c r="E21" s="37" t="s">
        <v>45</v>
      </c>
      <c r="F21" s="37" t="s">
        <v>46</v>
      </c>
      <c r="G21" s="47"/>
    </row>
    <row r="22" ht="15.75" customHeight="1">
      <c r="B22" s="48"/>
      <c r="C22" s="49"/>
      <c r="D22" s="49"/>
      <c r="E22" s="37" t="s">
        <v>47</v>
      </c>
      <c r="F22" s="37" t="s">
        <v>48</v>
      </c>
      <c r="G22" s="49"/>
    </row>
    <row r="23" ht="15.75" customHeight="1">
      <c r="B23" s="48"/>
      <c r="C23" s="49"/>
      <c r="D23" s="49"/>
      <c r="E23" s="50" t="s">
        <v>49</v>
      </c>
      <c r="F23" s="46" t="s">
        <v>50</v>
      </c>
      <c r="G23" s="49"/>
    </row>
    <row r="24" ht="15.75" customHeight="1">
      <c r="B24" s="48"/>
      <c r="C24" s="49"/>
      <c r="D24" s="49"/>
      <c r="E24" s="49"/>
      <c r="G24" s="49"/>
    </row>
    <row r="25" ht="15.75" customHeight="1">
      <c r="B25" s="48"/>
      <c r="C25" s="49"/>
      <c r="D25" s="49"/>
      <c r="E25" s="49"/>
      <c r="F25" s="49"/>
      <c r="G25" s="49"/>
      <c r="J25" s="5" t="s">
        <v>51</v>
      </c>
      <c r="M25" s="6" t="s">
        <v>52</v>
      </c>
    </row>
    <row r="26" ht="15.75" customHeight="1">
      <c r="B26" s="48"/>
      <c r="C26" s="49"/>
      <c r="D26" s="49"/>
      <c r="E26" s="49"/>
      <c r="F26" s="49"/>
      <c r="G26" s="49"/>
      <c r="M26" s="6">
        <v>10.0</v>
      </c>
    </row>
    <row r="27" ht="15.75" customHeight="1">
      <c r="B27" s="48"/>
      <c r="C27" s="49"/>
      <c r="D27" s="49"/>
      <c r="E27" s="49"/>
      <c r="F27" s="49"/>
      <c r="G27" s="49"/>
      <c r="M27" s="6" t="s">
        <v>53</v>
      </c>
    </row>
    <row r="28" ht="15.75" customHeight="1">
      <c r="B28" s="48"/>
      <c r="C28" s="49"/>
      <c r="D28" s="49"/>
      <c r="E28" s="49"/>
      <c r="F28" s="49"/>
      <c r="G28" s="49"/>
      <c r="M28" s="6">
        <v>1.0</v>
      </c>
    </row>
    <row r="29" ht="15.75" customHeight="1">
      <c r="B29" s="48"/>
      <c r="C29" s="49"/>
      <c r="D29" s="49"/>
      <c r="E29" s="49"/>
      <c r="F29" s="49"/>
      <c r="G29" s="49"/>
    </row>
    <row r="30" ht="15.75" customHeight="1">
      <c r="B30" s="48"/>
      <c r="C30" s="49"/>
      <c r="D30" s="49"/>
      <c r="E30" s="49"/>
      <c r="F30" s="49"/>
      <c r="G30" s="49"/>
      <c r="M30" s="6" t="s">
        <v>54</v>
      </c>
    </row>
    <row r="31" ht="15.75" customHeight="1">
      <c r="B31" s="48"/>
      <c r="C31" s="49"/>
      <c r="D31" s="49"/>
      <c r="E31" s="49"/>
      <c r="F31" s="49"/>
      <c r="G31" s="49"/>
      <c r="J31" s="51" t="s">
        <v>55</v>
      </c>
    </row>
    <row r="32" ht="15.75" customHeight="1">
      <c r="B32" s="49"/>
      <c r="C32" s="49"/>
      <c r="D32" s="49"/>
      <c r="E32" s="49"/>
      <c r="F32" s="49"/>
      <c r="G32" s="49"/>
      <c r="M32" s="6">
        <v>1000.0</v>
      </c>
    </row>
    <row r="33" ht="15.75" customHeight="1">
      <c r="B33" s="48"/>
      <c r="C33" s="49"/>
      <c r="D33" s="49"/>
      <c r="E33" s="49"/>
      <c r="F33" s="49"/>
      <c r="G33" s="49"/>
      <c r="M33" s="6">
        <v>670.0</v>
      </c>
    </row>
    <row r="34" ht="15.75" customHeight="1">
      <c r="B34" s="47"/>
      <c r="C34" s="49"/>
      <c r="D34" s="49"/>
      <c r="E34" s="49"/>
      <c r="F34" s="49"/>
      <c r="G34" s="49"/>
      <c r="M34" s="6" t="s">
        <v>56</v>
      </c>
    </row>
    <row r="35" ht="15.75" customHeight="1">
      <c r="J35" s="52" t="s">
        <v>57</v>
      </c>
      <c r="M35" s="6">
        <v>1000.0</v>
      </c>
    </row>
    <row r="36" ht="15.75" customHeight="1">
      <c r="M36" s="6">
        <v>1300.0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</sheetData>
  <mergeCells count="23">
    <mergeCell ref="J31:L34"/>
    <mergeCell ref="J35:L36"/>
    <mergeCell ref="B6:C6"/>
    <mergeCell ref="B7:C7"/>
    <mergeCell ref="A10:B10"/>
    <mergeCell ref="A2:G2"/>
    <mergeCell ref="J2:L4"/>
    <mergeCell ref="R2:R5"/>
    <mergeCell ref="B3:C3"/>
    <mergeCell ref="B4:C4"/>
    <mergeCell ref="B5:C5"/>
    <mergeCell ref="J5:L8"/>
    <mergeCell ref="B15:C15"/>
    <mergeCell ref="B12:C12"/>
    <mergeCell ref="B13:C13"/>
    <mergeCell ref="B14:C14"/>
    <mergeCell ref="B8:C8"/>
    <mergeCell ref="B16:C16"/>
    <mergeCell ref="J16:L23"/>
    <mergeCell ref="B17:C17"/>
    <mergeCell ref="B18:C18"/>
    <mergeCell ref="J25:L29"/>
    <mergeCell ref="J11:L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7" width="6.0"/>
    <col customWidth="1" min="8" max="8" width="5.86"/>
    <col customWidth="1" min="9" max="9" width="9.86"/>
    <col customWidth="1" min="10" max="11" width="5.57"/>
    <col customWidth="1" min="12" max="12" width="6.43"/>
    <col customWidth="1" min="13" max="14" width="5.0"/>
    <col customWidth="1" min="15" max="15" width="9.57"/>
    <col customWidth="1" min="16" max="16" width="5.29"/>
    <col customWidth="1" min="17" max="19" width="5.86"/>
    <col customWidth="1" min="20" max="20" width="9.57"/>
    <col customWidth="1" min="21" max="21" width="5.86"/>
    <col customWidth="1" min="22" max="24" width="5.57"/>
    <col customWidth="1" min="25" max="25" width="10.43"/>
    <col customWidth="1" min="26" max="26" width="5.43"/>
    <col customWidth="1" min="27" max="27" width="5.86"/>
    <col customWidth="1" min="28" max="28" width="5.57"/>
    <col customWidth="1" min="29" max="29" width="5.29"/>
    <col customWidth="1" min="30" max="30" width="10.43"/>
    <col customWidth="1" min="31" max="31" width="5.57"/>
    <col customWidth="1" min="32" max="32" width="6.71"/>
    <col customWidth="1" min="33" max="34" width="6.14"/>
    <col customWidth="1" min="35" max="35" width="12.14"/>
    <col customWidth="1" min="36" max="36" width="6.71"/>
    <col customWidth="1" min="37" max="38" width="6.0"/>
    <col customWidth="1" min="39" max="39" width="6.43"/>
    <col customWidth="1" min="40" max="40" width="9.43"/>
    <col customWidth="1" min="41" max="41" width="6.0"/>
    <col customWidth="1" min="42" max="43" width="5.86"/>
    <col customWidth="1" min="44" max="44" width="6.14"/>
    <col customWidth="1" min="45" max="45" width="9.43"/>
    <col customWidth="1" min="46" max="47" width="6.71"/>
    <col customWidth="1" min="48" max="49" width="6.57"/>
    <col customWidth="1" min="50" max="50" width="9.43"/>
    <col customWidth="1" min="51" max="51" width="6.0"/>
    <col customWidth="1" min="52" max="52" width="5.86"/>
    <col customWidth="1" min="53" max="53" width="6.71"/>
    <col customWidth="1" min="54" max="54" width="7.0"/>
    <col customWidth="1" min="55" max="55" width="9.43"/>
  </cols>
  <sheetData>
    <row r="9">
      <c r="B9" s="53" t="s">
        <v>58</v>
      </c>
      <c r="C9" s="54" t="s">
        <v>59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64</v>
      </c>
      <c r="Q11" s="64"/>
      <c r="R11" s="64"/>
      <c r="S11" s="64"/>
      <c r="T11" s="25"/>
      <c r="U11" s="63" t="s">
        <v>65</v>
      </c>
      <c r="V11" s="64"/>
      <c r="W11" s="64"/>
      <c r="X11" s="64"/>
      <c r="Y11" s="25"/>
      <c r="Z11" s="63" t="s">
        <v>66</v>
      </c>
      <c r="AA11" s="64"/>
      <c r="AB11" s="64"/>
      <c r="AC11" s="64"/>
      <c r="AD11" s="25"/>
      <c r="AE11" s="63" t="s">
        <v>67</v>
      </c>
      <c r="AF11" s="64"/>
      <c r="AG11" s="64"/>
      <c r="AH11" s="64"/>
      <c r="AI11" s="25"/>
      <c r="AJ11" s="63" t="s">
        <v>68</v>
      </c>
      <c r="AK11" s="64"/>
      <c r="AL11" s="64"/>
      <c r="AM11" s="64"/>
      <c r="AN11" s="25"/>
      <c r="AO11" s="63" t="s">
        <v>69</v>
      </c>
      <c r="AP11" s="64"/>
      <c r="AQ11" s="64"/>
      <c r="AR11" s="64"/>
      <c r="AS11" s="25"/>
      <c r="AT11" s="63" t="s">
        <v>70</v>
      </c>
      <c r="AU11" s="64"/>
      <c r="AV11" s="64"/>
      <c r="AW11" s="64"/>
      <c r="AX11" s="25"/>
      <c r="AY11" s="63" t="s">
        <v>71</v>
      </c>
      <c r="AZ11" s="64"/>
      <c r="BA11" s="64"/>
      <c r="BB11" s="64"/>
      <c r="BC11" s="25"/>
    </row>
    <row r="12">
      <c r="B12" s="65" t="s">
        <v>72</v>
      </c>
      <c r="C12" s="66" t="s">
        <v>73</v>
      </c>
      <c r="D12" s="66" t="s">
        <v>73</v>
      </c>
      <c r="E12" s="67">
        <v>44317.0</v>
      </c>
      <c r="F12" s="67">
        <v>44532.0</v>
      </c>
      <c r="G12" s="66" t="s">
        <v>74</v>
      </c>
      <c r="H12" s="66" t="s">
        <v>75</v>
      </c>
      <c r="I12" s="66" t="s">
        <v>76</v>
      </c>
      <c r="J12" s="67">
        <v>44228.0</v>
      </c>
      <c r="K12" s="67">
        <v>44441.0</v>
      </c>
      <c r="L12" s="66" t="s">
        <v>77</v>
      </c>
      <c r="M12" s="66" t="s">
        <v>78</v>
      </c>
      <c r="N12" s="66" t="s">
        <v>79</v>
      </c>
      <c r="O12" s="66" t="s">
        <v>76</v>
      </c>
      <c r="P12" s="67">
        <v>44378.0</v>
      </c>
      <c r="Q12" s="66">
        <v>2.0</v>
      </c>
      <c r="R12" s="66">
        <v>3.0</v>
      </c>
      <c r="S12" s="66">
        <v>4.0</v>
      </c>
      <c r="T12" s="66" t="s">
        <v>76</v>
      </c>
      <c r="U12" s="67">
        <v>44287.0</v>
      </c>
      <c r="V12" s="67">
        <v>44502.0</v>
      </c>
      <c r="W12" s="66" t="s">
        <v>80</v>
      </c>
      <c r="X12" s="66" t="s">
        <v>81</v>
      </c>
      <c r="Y12" s="66" t="s">
        <v>76</v>
      </c>
      <c r="Z12" s="66">
        <v>1.0</v>
      </c>
      <c r="AA12" s="66">
        <v>2.0</v>
      </c>
      <c r="AB12" s="66">
        <v>3.0</v>
      </c>
      <c r="AC12" s="66">
        <v>4.0</v>
      </c>
      <c r="AD12" s="66" t="s">
        <v>76</v>
      </c>
      <c r="AE12" s="66">
        <v>1.0</v>
      </c>
      <c r="AF12" s="66">
        <v>2.0</v>
      </c>
      <c r="AG12" s="66">
        <v>3.0</v>
      </c>
      <c r="AH12" s="66">
        <v>4.0</v>
      </c>
      <c r="AI12" s="66" t="s">
        <v>76</v>
      </c>
      <c r="AJ12" s="66">
        <v>1.0</v>
      </c>
      <c r="AK12" s="66">
        <v>2.0</v>
      </c>
      <c r="AL12" s="66">
        <v>3.0</v>
      </c>
      <c r="AM12" s="66">
        <v>4.0</v>
      </c>
      <c r="AN12" s="66" t="s">
        <v>76</v>
      </c>
      <c r="AO12" s="66">
        <v>1.0</v>
      </c>
      <c r="AP12" s="66">
        <v>2.0</v>
      </c>
      <c r="AQ12" s="66">
        <v>3.0</v>
      </c>
      <c r="AR12" s="66">
        <v>4.0</v>
      </c>
      <c r="AS12" s="66" t="s">
        <v>76</v>
      </c>
      <c r="AT12" s="66">
        <v>1.0</v>
      </c>
      <c r="AU12" s="66">
        <v>2.0</v>
      </c>
      <c r="AV12" s="66">
        <v>3.0</v>
      </c>
      <c r="AW12" s="66">
        <v>4.0</v>
      </c>
      <c r="AX12" s="66" t="s">
        <v>76</v>
      </c>
      <c r="AY12" s="66">
        <v>1.0</v>
      </c>
      <c r="AZ12" s="66">
        <v>2.0</v>
      </c>
      <c r="BA12" s="66">
        <v>3.0</v>
      </c>
      <c r="BB12" s="66">
        <v>4.0</v>
      </c>
      <c r="BC12" s="66" t="s">
        <v>76</v>
      </c>
    </row>
    <row r="13">
      <c r="B13" s="68" t="s">
        <v>82</v>
      </c>
      <c r="C13" s="69" t="s">
        <v>73</v>
      </c>
      <c r="D13" s="69" t="s">
        <v>73</v>
      </c>
      <c r="E13" s="70">
        <v>7.0</v>
      </c>
      <c r="F13" s="71">
        <v>5.0</v>
      </c>
      <c r="G13" s="71">
        <v>4.0</v>
      </c>
      <c r="H13" s="72">
        <v>5.0</v>
      </c>
      <c r="I13" s="73" t="str">
        <f t="shared" ref="I13:I19" si="1">SUM(E13:H13)</f>
        <v>21</v>
      </c>
      <c r="J13" s="74">
        <v>5.0</v>
      </c>
      <c r="K13" s="75"/>
      <c r="L13" s="75">
        <v>6.0</v>
      </c>
      <c r="M13" s="75">
        <v>5.0</v>
      </c>
      <c r="N13" s="76">
        <v>5.0</v>
      </c>
      <c r="O13" s="73" t="str">
        <f>SUM(J13:N13)</f>
        <v>21</v>
      </c>
      <c r="P13" s="70">
        <v>7.0</v>
      </c>
      <c r="Q13" s="71">
        <v>8.0</v>
      </c>
      <c r="R13" s="71">
        <v>3.0</v>
      </c>
      <c r="S13" s="72">
        <v>3.0</v>
      </c>
      <c r="T13" s="73" t="str">
        <f t="shared" ref="T13:T19" si="2">SUM(P13:S13)</f>
        <v>21</v>
      </c>
      <c r="U13" s="74">
        <v>5.0</v>
      </c>
      <c r="V13" s="75"/>
      <c r="W13" s="75">
        <v>2.0</v>
      </c>
      <c r="X13" s="76"/>
      <c r="Y13" s="73" t="str">
        <f t="shared" ref="Y13:Y19" si="3">SUM(U13:X13)</f>
        <v>7</v>
      </c>
      <c r="Z13" s="77" t="s">
        <v>83</v>
      </c>
      <c r="AA13" s="78" t="s">
        <v>83</v>
      </c>
      <c r="AB13" s="78">
        <v>15.0</v>
      </c>
      <c r="AC13" s="79" t="s">
        <v>83</v>
      </c>
      <c r="AD13" s="73" t="str">
        <f t="shared" ref="AD13:AD19" si="4">SUM(Z13:AC13)</f>
        <v>15</v>
      </c>
      <c r="AE13" s="77" t="s">
        <v>83</v>
      </c>
      <c r="AF13" s="78" t="s">
        <v>83</v>
      </c>
      <c r="AG13" s="78">
        <v>19.0</v>
      </c>
      <c r="AH13" s="79" t="s">
        <v>83</v>
      </c>
      <c r="AI13" s="73" t="str">
        <f t="shared" ref="AI13:AI19" si="5">SUM(AE13:AH13)</f>
        <v>19</v>
      </c>
      <c r="AJ13" s="77"/>
      <c r="AK13" s="78"/>
      <c r="AL13" s="78"/>
      <c r="AM13" s="79"/>
      <c r="AN13" s="73" t="str">
        <f t="shared" ref="AN13:AN19" si="6">SUM(AJ13:AM13)</f>
        <v>0</v>
      </c>
      <c r="AO13" s="77"/>
      <c r="AP13" s="78">
        <v>4.0</v>
      </c>
      <c r="AQ13" s="78"/>
      <c r="AR13" s="79">
        <v>20.0</v>
      </c>
      <c r="AS13" s="73" t="str">
        <f t="shared" ref="AS13:AS19" si="7">SUM(AO13:AR13)</f>
        <v>24</v>
      </c>
      <c r="AT13" s="77"/>
      <c r="AU13" s="78"/>
      <c r="AV13" s="78"/>
      <c r="AW13" s="79"/>
      <c r="AX13" s="73" t="str">
        <f t="shared" ref="AX13:AX19" si="8">SUM(AT13:AW13)</f>
        <v>0</v>
      </c>
      <c r="AY13" s="77"/>
      <c r="AZ13" s="78"/>
      <c r="BA13" s="78"/>
      <c r="BB13" s="79"/>
      <c r="BC13" s="73" t="str">
        <f t="shared" ref="BC13:BC19" si="9">SUM(AY13:BB13)</f>
        <v>0</v>
      </c>
    </row>
    <row r="14">
      <c r="B14" s="80" t="s">
        <v>84</v>
      </c>
      <c r="C14" s="81" t="s">
        <v>73</v>
      </c>
      <c r="D14" s="81" t="s">
        <v>73</v>
      </c>
      <c r="E14" s="82"/>
      <c r="F14" s="83"/>
      <c r="G14" s="83"/>
      <c r="H14" s="84"/>
      <c r="I14" s="85" t="str">
        <f t="shared" si="1"/>
        <v>0</v>
      </c>
      <c r="J14" s="86"/>
      <c r="K14" s="87"/>
      <c r="L14" s="87"/>
      <c r="M14" s="87"/>
      <c r="N14" s="88"/>
      <c r="O14" s="85" t="str">
        <f t="shared" ref="O14:O16" si="10">SUM(J14:M14)</f>
        <v>0</v>
      </c>
      <c r="P14" s="82"/>
      <c r="Q14" s="83"/>
      <c r="R14" s="83"/>
      <c r="S14" s="84"/>
      <c r="T14" s="85" t="str">
        <f t="shared" si="2"/>
        <v>0</v>
      </c>
      <c r="U14" s="86"/>
      <c r="V14" s="87"/>
      <c r="W14" s="87"/>
      <c r="X14" s="88"/>
      <c r="Y14" s="85" t="str">
        <f t="shared" si="3"/>
        <v>0</v>
      </c>
      <c r="Z14" s="89"/>
      <c r="AA14" s="90"/>
      <c r="AB14" s="90"/>
      <c r="AC14" s="91"/>
      <c r="AD14" s="85" t="str">
        <f t="shared" si="4"/>
        <v>0</v>
      </c>
      <c r="AE14" s="89"/>
      <c r="AF14" s="90"/>
      <c r="AG14" s="90"/>
      <c r="AH14" s="91"/>
      <c r="AI14" s="85" t="str">
        <f t="shared" si="5"/>
        <v>0</v>
      </c>
      <c r="AJ14" s="89"/>
      <c r="AK14" s="90"/>
      <c r="AL14" s="90"/>
      <c r="AM14" s="91"/>
      <c r="AN14" s="85" t="str">
        <f t="shared" si="6"/>
        <v>0</v>
      </c>
      <c r="AO14" s="89"/>
      <c r="AP14" s="90"/>
      <c r="AQ14" s="90"/>
      <c r="AR14" s="91"/>
      <c r="AS14" s="85" t="str">
        <f t="shared" si="7"/>
        <v>0</v>
      </c>
      <c r="AT14" s="89"/>
      <c r="AU14" s="90"/>
      <c r="AV14" s="90"/>
      <c r="AW14" s="91"/>
      <c r="AX14" s="85" t="str">
        <f t="shared" si="8"/>
        <v>0</v>
      </c>
      <c r="AY14" s="89"/>
      <c r="AZ14" s="90"/>
      <c r="BA14" s="90"/>
      <c r="BB14" s="91"/>
      <c r="BC14" s="85" t="str">
        <f t="shared" si="9"/>
        <v>0</v>
      </c>
    </row>
    <row r="15">
      <c r="B15" s="92" t="s">
        <v>85</v>
      </c>
      <c r="C15" s="93">
        <v>35.0</v>
      </c>
      <c r="D15" s="93">
        <v>32.0</v>
      </c>
      <c r="E15" s="94">
        <v>30.0</v>
      </c>
      <c r="F15" s="95"/>
      <c r="G15" s="95">
        <v>100.0</v>
      </c>
      <c r="H15" s="96">
        <v>10.0</v>
      </c>
      <c r="I15" s="97" t="str">
        <f t="shared" si="1"/>
        <v>140</v>
      </c>
      <c r="J15" s="98">
        <v>20.0</v>
      </c>
      <c r="K15" s="99">
        <v>20.0</v>
      </c>
      <c r="L15" s="99">
        <v>5.0</v>
      </c>
      <c r="M15" s="99"/>
      <c r="N15" s="100"/>
      <c r="O15" s="97" t="str">
        <f t="shared" si="10"/>
        <v>45</v>
      </c>
      <c r="P15" s="94">
        <v>12.0</v>
      </c>
      <c r="Q15" s="95">
        <v>10.0</v>
      </c>
      <c r="R15" s="95">
        <v>15.0</v>
      </c>
      <c r="S15" s="96">
        <v>22.0</v>
      </c>
      <c r="T15" s="97" t="str">
        <f t="shared" si="2"/>
        <v>59</v>
      </c>
      <c r="U15" s="98">
        <v>7.0</v>
      </c>
      <c r="V15" s="99">
        <v>8.0</v>
      </c>
      <c r="W15" s="99">
        <v>6.0</v>
      </c>
      <c r="X15" s="100">
        <v>10.0</v>
      </c>
      <c r="Y15" s="97" t="str">
        <f t="shared" si="3"/>
        <v>31</v>
      </c>
      <c r="Z15" s="101">
        <v>10.0</v>
      </c>
      <c r="AA15" s="102">
        <v>10.0</v>
      </c>
      <c r="AB15" s="102">
        <v>15.0</v>
      </c>
      <c r="AC15" s="103">
        <v>7.0</v>
      </c>
      <c r="AD15" s="97" t="str">
        <f t="shared" si="4"/>
        <v>42</v>
      </c>
      <c r="AE15" s="101">
        <v>10.0</v>
      </c>
      <c r="AF15" s="102">
        <v>10.0</v>
      </c>
      <c r="AG15" s="102">
        <v>7.0</v>
      </c>
      <c r="AH15" s="103">
        <v>8.0</v>
      </c>
      <c r="AI15" s="97" t="str">
        <f t="shared" si="5"/>
        <v>35</v>
      </c>
      <c r="AJ15" s="101"/>
      <c r="AK15" s="102"/>
      <c r="AL15" s="102"/>
      <c r="AM15" s="103"/>
      <c r="AN15" s="97" t="str">
        <f t="shared" si="6"/>
        <v>0</v>
      </c>
      <c r="AO15" s="101">
        <v>20.0</v>
      </c>
      <c r="AP15" s="102">
        <v>15.0</v>
      </c>
      <c r="AQ15" s="102">
        <v>18.8</v>
      </c>
      <c r="AR15" s="103">
        <v>18.0</v>
      </c>
      <c r="AS15" s="97" t="str">
        <f t="shared" si="7"/>
        <v>71.8</v>
      </c>
      <c r="AT15" s="101"/>
      <c r="AU15" s="102"/>
      <c r="AV15" s="102"/>
      <c r="AW15" s="103"/>
      <c r="AX15" s="97" t="str">
        <f t="shared" si="8"/>
        <v>0</v>
      </c>
      <c r="AY15" s="101"/>
      <c r="AZ15" s="102"/>
      <c r="BA15" s="102"/>
      <c r="BB15" s="103"/>
      <c r="BC15" s="97" t="str">
        <f t="shared" si="9"/>
        <v>0</v>
      </c>
    </row>
    <row r="16">
      <c r="B16" s="92" t="s">
        <v>86</v>
      </c>
      <c r="C16" s="93" t="s">
        <v>73</v>
      </c>
      <c r="D16" s="93" t="s">
        <v>73</v>
      </c>
      <c r="E16" s="94"/>
      <c r="F16" s="95">
        <v>100.0</v>
      </c>
      <c r="G16" s="95"/>
      <c r="H16" s="96"/>
      <c r="I16" s="97" t="str">
        <f t="shared" si="1"/>
        <v>100</v>
      </c>
      <c r="J16" s="98">
        <v>20.0</v>
      </c>
      <c r="K16" s="99"/>
      <c r="L16" s="99">
        <v>29.0</v>
      </c>
      <c r="M16" s="99"/>
      <c r="N16" s="100"/>
      <c r="O16" s="97" t="str">
        <f t="shared" si="10"/>
        <v>49</v>
      </c>
      <c r="P16" s="94"/>
      <c r="Q16" s="95"/>
      <c r="R16" s="95"/>
      <c r="S16" s="96"/>
      <c r="T16" s="97" t="str">
        <f t="shared" si="2"/>
        <v>0</v>
      </c>
      <c r="U16" s="98"/>
      <c r="V16" s="99"/>
      <c r="W16" s="99"/>
      <c r="X16" s="100"/>
      <c r="Y16" s="97" t="str">
        <f t="shared" si="3"/>
        <v>0</v>
      </c>
      <c r="Z16" s="101"/>
      <c r="AA16" s="102"/>
      <c r="AB16" s="102"/>
      <c r="AC16" s="103"/>
      <c r="AD16" s="97" t="str">
        <f t="shared" si="4"/>
        <v>0</v>
      </c>
      <c r="AE16" s="101"/>
      <c r="AF16" s="102"/>
      <c r="AG16" s="102"/>
      <c r="AH16" s="103"/>
      <c r="AI16" s="97" t="str">
        <f t="shared" si="5"/>
        <v>0</v>
      </c>
      <c r="AJ16" s="101"/>
      <c r="AK16" s="102"/>
      <c r="AL16" s="102"/>
      <c r="AM16" s="103"/>
      <c r="AN16" s="97" t="str">
        <f t="shared" si="6"/>
        <v>0</v>
      </c>
      <c r="AO16" s="101"/>
      <c r="AP16" s="102"/>
      <c r="AQ16" s="102"/>
      <c r="AR16" s="103"/>
      <c r="AS16" s="97" t="str">
        <f t="shared" si="7"/>
        <v>0</v>
      </c>
      <c r="AT16" s="101"/>
      <c r="AU16" s="102"/>
      <c r="AV16" s="102"/>
      <c r="AW16" s="103"/>
      <c r="AX16" s="97" t="str">
        <f t="shared" si="8"/>
        <v>0</v>
      </c>
      <c r="AY16" s="101"/>
      <c r="AZ16" s="102"/>
      <c r="BA16" s="102"/>
      <c r="BB16" s="103"/>
      <c r="BC16" s="97" t="str">
        <f t="shared" si="9"/>
        <v>0</v>
      </c>
    </row>
    <row r="17">
      <c r="B17" s="104" t="s">
        <v>87</v>
      </c>
      <c r="C17" s="105" t="s">
        <v>73</v>
      </c>
      <c r="D17" s="105" t="s">
        <v>73</v>
      </c>
      <c r="E17" s="106"/>
      <c r="F17" s="107"/>
      <c r="G17" s="107"/>
      <c r="H17" s="108"/>
      <c r="I17" s="109" t="str">
        <f t="shared" si="1"/>
        <v>0</v>
      </c>
      <c r="J17" s="110"/>
      <c r="K17" s="111"/>
      <c r="L17" s="111"/>
      <c r="M17" s="111"/>
      <c r="N17" s="112">
        <v>2.0</v>
      </c>
      <c r="O17" s="109" t="str">
        <f>SUM(J17:N17)</f>
        <v>2</v>
      </c>
      <c r="P17" s="106"/>
      <c r="Q17" s="107">
        <v>3.0</v>
      </c>
      <c r="R17" s="107"/>
      <c r="S17" s="108"/>
      <c r="T17" s="109" t="str">
        <f t="shared" si="2"/>
        <v>3</v>
      </c>
      <c r="U17" s="110"/>
      <c r="V17" s="111"/>
      <c r="W17" s="111"/>
      <c r="X17" s="112"/>
      <c r="Y17" s="109" t="str">
        <f t="shared" si="3"/>
        <v>0</v>
      </c>
      <c r="Z17" s="113"/>
      <c r="AA17" s="114"/>
      <c r="AB17" s="114"/>
      <c r="AC17" s="115"/>
      <c r="AD17" s="109" t="str">
        <f t="shared" si="4"/>
        <v>0</v>
      </c>
      <c r="AE17" s="113"/>
      <c r="AF17" s="114"/>
      <c r="AG17" s="114"/>
      <c r="AH17" s="115"/>
      <c r="AI17" s="109" t="str">
        <f t="shared" si="5"/>
        <v>0</v>
      </c>
      <c r="AJ17" s="113"/>
      <c r="AK17" s="114"/>
      <c r="AL17" s="114"/>
      <c r="AM17" s="115"/>
      <c r="AN17" s="109" t="str">
        <f t="shared" si="6"/>
        <v>0</v>
      </c>
      <c r="AO17" s="113"/>
      <c r="AP17" s="114"/>
      <c r="AQ17" s="114"/>
      <c r="AR17" s="115"/>
      <c r="AS17" s="109" t="str">
        <f t="shared" si="7"/>
        <v>0</v>
      </c>
      <c r="AT17" s="113"/>
      <c r="AU17" s="114"/>
      <c r="AV17" s="114"/>
      <c r="AW17" s="115"/>
      <c r="AX17" s="109" t="str">
        <f t="shared" si="8"/>
        <v>0</v>
      </c>
      <c r="AY17" s="113"/>
      <c r="AZ17" s="114"/>
      <c r="BA17" s="114"/>
      <c r="BB17" s="115"/>
      <c r="BC17" s="109" t="str">
        <f t="shared" si="9"/>
        <v>0</v>
      </c>
    </row>
    <row r="18">
      <c r="B18" s="104" t="s">
        <v>88</v>
      </c>
      <c r="C18" s="105" t="s">
        <v>73</v>
      </c>
      <c r="D18" s="105" t="s">
        <v>73</v>
      </c>
      <c r="E18" s="106"/>
      <c r="F18" s="107"/>
      <c r="G18" s="107"/>
      <c r="H18" s="108"/>
      <c r="I18" s="109" t="str">
        <f t="shared" si="1"/>
        <v>0</v>
      </c>
      <c r="J18" s="110"/>
      <c r="K18" s="111"/>
      <c r="L18" s="111"/>
      <c r="M18" s="111"/>
      <c r="N18" s="112"/>
      <c r="O18" s="109" t="str">
        <f t="shared" ref="O18:O19" si="11">SUM(J18:M18)</f>
        <v>0</v>
      </c>
      <c r="P18" s="106"/>
      <c r="Q18" s="107"/>
      <c r="R18" s="107"/>
      <c r="S18" s="108"/>
      <c r="T18" s="109" t="str">
        <f t="shared" si="2"/>
        <v>0</v>
      </c>
      <c r="U18" s="110"/>
      <c r="V18" s="111"/>
      <c r="W18" s="111"/>
      <c r="X18" s="112"/>
      <c r="Y18" s="109" t="str">
        <f t="shared" si="3"/>
        <v>0</v>
      </c>
      <c r="Z18" s="113"/>
      <c r="AA18" s="114"/>
      <c r="AB18" s="114"/>
      <c r="AC18" s="115"/>
      <c r="AD18" s="109" t="str">
        <f t="shared" si="4"/>
        <v>0</v>
      </c>
      <c r="AE18" s="113"/>
      <c r="AF18" s="114"/>
      <c r="AG18" s="114"/>
      <c r="AH18" s="115"/>
      <c r="AI18" s="109" t="str">
        <f t="shared" si="5"/>
        <v>0</v>
      </c>
      <c r="AJ18" s="113"/>
      <c r="AK18" s="114"/>
      <c r="AL18" s="114"/>
      <c r="AM18" s="115"/>
      <c r="AN18" s="109" t="str">
        <f t="shared" si="6"/>
        <v>0</v>
      </c>
      <c r="AO18" s="113"/>
      <c r="AP18" s="114"/>
      <c r="AQ18" s="114"/>
      <c r="AR18" s="115"/>
      <c r="AS18" s="109" t="str">
        <f t="shared" si="7"/>
        <v>0</v>
      </c>
      <c r="AT18" s="113"/>
      <c r="AU18" s="114"/>
      <c r="AV18" s="114"/>
      <c r="AW18" s="115"/>
      <c r="AX18" s="109" t="str">
        <f t="shared" si="8"/>
        <v>0</v>
      </c>
      <c r="AY18" s="113"/>
      <c r="AZ18" s="114"/>
      <c r="BA18" s="114"/>
      <c r="BB18" s="115"/>
      <c r="BC18" s="109" t="str">
        <f t="shared" si="9"/>
        <v>0</v>
      </c>
    </row>
    <row r="19">
      <c r="B19" s="116" t="s">
        <v>89</v>
      </c>
      <c r="C19" s="117">
        <v>23.0</v>
      </c>
      <c r="D19" s="117">
        <v>20.0</v>
      </c>
      <c r="E19" s="118"/>
      <c r="F19" s="119"/>
      <c r="G19" s="119"/>
      <c r="H19" s="120"/>
      <c r="I19" s="121" t="str">
        <f t="shared" si="1"/>
        <v>0</v>
      </c>
      <c r="J19" s="122">
        <v>10.0</v>
      </c>
      <c r="K19" s="123"/>
      <c r="L19" s="123"/>
      <c r="M19" s="123"/>
      <c r="N19" s="124"/>
      <c r="O19" s="125" t="str">
        <f t="shared" si="11"/>
        <v>10</v>
      </c>
      <c r="P19" s="118">
        <v>4.0</v>
      </c>
      <c r="Q19" s="119">
        <v>2.0</v>
      </c>
      <c r="R19" s="119"/>
      <c r="S19" s="120">
        <v>3.0</v>
      </c>
      <c r="T19" s="125" t="str">
        <f t="shared" si="2"/>
        <v>9</v>
      </c>
      <c r="U19" s="122">
        <v>3.0</v>
      </c>
      <c r="V19" s="123">
        <v>4.0</v>
      </c>
      <c r="W19" s="123"/>
      <c r="X19" s="124">
        <v>6.0</v>
      </c>
      <c r="Y19" s="126" t="str">
        <f t="shared" si="3"/>
        <v>13</v>
      </c>
      <c r="Z19" s="127">
        <v>3.0</v>
      </c>
      <c r="AA19" s="128">
        <v>6.0</v>
      </c>
      <c r="AB19" s="128">
        <v>3.0</v>
      </c>
      <c r="AC19" s="129">
        <v>1.0</v>
      </c>
      <c r="AD19" s="125" t="str">
        <f t="shared" si="4"/>
        <v>13</v>
      </c>
      <c r="AE19" s="127">
        <v>3.0</v>
      </c>
      <c r="AF19" s="128">
        <v>3.0</v>
      </c>
      <c r="AG19" s="128">
        <v>2.0</v>
      </c>
      <c r="AH19" s="129">
        <v>4.0</v>
      </c>
      <c r="AI19" s="126" t="str">
        <f t="shared" si="5"/>
        <v>12</v>
      </c>
      <c r="AJ19" s="127"/>
      <c r="AK19" s="128"/>
      <c r="AL19" s="128"/>
      <c r="AM19" s="129"/>
      <c r="AN19" s="125" t="str">
        <f t="shared" si="6"/>
        <v>0</v>
      </c>
      <c r="AO19" s="127">
        <v>5.0</v>
      </c>
      <c r="AP19" s="128">
        <v>1.0</v>
      </c>
      <c r="AQ19" s="128">
        <v>3.0</v>
      </c>
      <c r="AR19" s="129">
        <v>1.0</v>
      </c>
      <c r="AS19" s="125" t="str">
        <f t="shared" si="7"/>
        <v>10</v>
      </c>
      <c r="AT19" s="127"/>
      <c r="AU19" s="128"/>
      <c r="AV19" s="128"/>
      <c r="AW19" s="129"/>
      <c r="AX19" s="125" t="str">
        <f t="shared" si="8"/>
        <v>0</v>
      </c>
      <c r="AY19" s="127"/>
      <c r="AZ19" s="128"/>
      <c r="BA19" s="128"/>
      <c r="BB19" s="129"/>
      <c r="BC19" s="125" t="str">
        <f t="shared" si="9"/>
        <v>0</v>
      </c>
    </row>
    <row r="20">
      <c r="B20" s="130" t="s">
        <v>90</v>
      </c>
      <c r="C20" s="131" t="str">
        <f t="shared" ref="C20:D20" si="12">SUM(C13:C19)</f>
        <v>58</v>
      </c>
      <c r="D20" s="132" t="str">
        <f t="shared" si="12"/>
        <v>52</v>
      </c>
      <c r="E20" s="133"/>
      <c r="F20" s="134"/>
      <c r="G20" s="134"/>
      <c r="H20" s="135"/>
      <c r="I20" s="132" t="str">
        <f>SUM(I13:I19)</f>
        <v>261</v>
      </c>
      <c r="J20" s="133"/>
      <c r="K20" s="134"/>
      <c r="L20" s="134"/>
      <c r="M20" s="134"/>
      <c r="N20" s="135"/>
      <c r="O20" s="136" t="str">
        <f>SUM(O13:O19)</f>
        <v>127</v>
      </c>
      <c r="P20" s="133"/>
      <c r="Q20" s="134"/>
      <c r="R20" s="134"/>
      <c r="S20" s="135"/>
      <c r="T20" s="136" t="str">
        <f>SUM(T13:T19)</f>
        <v>92</v>
      </c>
      <c r="U20" s="137"/>
      <c r="V20" s="134"/>
      <c r="W20" s="134"/>
      <c r="X20" s="135"/>
      <c r="Y20" s="136" t="str">
        <f>SUM(Y13:Y19)</f>
        <v>51</v>
      </c>
      <c r="Z20" s="133"/>
      <c r="AA20" s="134"/>
      <c r="AB20" s="134"/>
      <c r="AC20" s="135"/>
      <c r="AD20" s="136" t="str">
        <f>SUM(AD13:AD19)</f>
        <v>70</v>
      </c>
      <c r="AE20" s="133"/>
      <c r="AF20" s="134"/>
      <c r="AG20" s="134"/>
      <c r="AH20" s="135"/>
      <c r="AI20" s="136" t="str">
        <f>SUM(AI13:AI19)</f>
        <v>66</v>
      </c>
      <c r="AJ20" s="133"/>
      <c r="AK20" s="134"/>
      <c r="AL20" s="134"/>
      <c r="AM20" s="135"/>
      <c r="AN20" s="136" t="str">
        <f>SUM(AN13:AN19)</f>
        <v>0</v>
      </c>
      <c r="AO20" s="133"/>
      <c r="AP20" s="134"/>
      <c r="AQ20" s="134"/>
      <c r="AR20" s="135"/>
      <c r="AS20" s="136" t="str">
        <f>SUM(AS13:AS18)</f>
        <v>95.8</v>
      </c>
      <c r="AT20" s="133"/>
      <c r="AU20" s="134"/>
      <c r="AV20" s="134"/>
      <c r="AW20" s="135"/>
      <c r="AX20" s="136" t="str">
        <f>SUM(AX13:AX19)</f>
        <v>0</v>
      </c>
      <c r="AY20" s="133"/>
      <c r="AZ20" s="134"/>
      <c r="BA20" s="134"/>
      <c r="BB20" s="135"/>
      <c r="BC20" s="136" t="str">
        <f>SUM(BC13:BC19)</f>
        <v>0</v>
      </c>
    </row>
    <row r="21" ht="15.75" customHeight="1"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</row>
    <row r="22" ht="15.75" customHeight="1">
      <c r="C22" s="139" t="s">
        <v>91</v>
      </c>
    </row>
    <row r="23" ht="15.75" customHeight="1">
      <c r="C23" s="140" t="s">
        <v>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4"/>
    </row>
    <row r="24" ht="15.75" customHeight="1">
      <c r="C24" s="140" t="s">
        <v>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4"/>
    </row>
    <row r="25" ht="15.75" customHeight="1">
      <c r="C25" s="140" t="s">
        <v>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4"/>
    </row>
    <row r="26" ht="15.75" customHeight="1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 ht="15.75" customHeight="1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3"/>
    </row>
    <row r="28" ht="15.75" customHeight="1">
      <c r="A28" s="144"/>
      <c r="BC28" s="145"/>
    </row>
    <row r="29" ht="15.75" customHeight="1">
      <c r="A29" s="144"/>
      <c r="BC29" s="145"/>
    </row>
    <row r="30" ht="15.75" customHeight="1">
      <c r="A30" s="144"/>
      <c r="BC30" s="145"/>
    </row>
    <row r="31" ht="15.75" customHeight="1">
      <c r="A31" s="144"/>
      <c r="BC31" s="145"/>
    </row>
    <row r="32" ht="15.75" customHeight="1">
      <c r="A32" s="144"/>
      <c r="BC32" s="145"/>
    </row>
    <row r="33" ht="15.75" customHeight="1">
      <c r="A33" s="144"/>
      <c r="BC33" s="145"/>
    </row>
    <row r="34" ht="15.75" customHeight="1">
      <c r="A34" s="144"/>
      <c r="BC34" s="145"/>
    </row>
    <row r="35" ht="15.75" customHeight="1">
      <c r="A35" s="144"/>
      <c r="BC35" s="145"/>
    </row>
    <row r="36" ht="15.75" customHeight="1">
      <c r="A36" s="144"/>
      <c r="BC36" s="145"/>
    </row>
    <row r="37" ht="15.75" customHeight="1">
      <c r="A37" s="144"/>
      <c r="BC37" s="145"/>
    </row>
    <row r="38" ht="15.75" customHeight="1">
      <c r="A38" s="144"/>
      <c r="BC38" s="145"/>
    </row>
    <row r="39" ht="15.75" customHeight="1">
      <c r="A39" s="144"/>
      <c r="BC39" s="145"/>
    </row>
    <row r="40" ht="15.75" customHeight="1">
      <c r="A40" s="144"/>
      <c r="BC40" s="145"/>
    </row>
    <row r="41" ht="15.75" customHeight="1">
      <c r="A41" s="144"/>
      <c r="BC41" s="145"/>
    </row>
    <row r="42" ht="15.75" customHeight="1">
      <c r="A42" s="144"/>
      <c r="BC42" s="145"/>
    </row>
    <row r="43" ht="15.75" customHeight="1">
      <c r="A43" s="144"/>
      <c r="BC43" s="145"/>
    </row>
    <row r="44" ht="15.75" customHeight="1">
      <c r="A44" s="144"/>
      <c r="BC44" s="145"/>
    </row>
    <row r="45" ht="15.75" customHeight="1">
      <c r="A45" s="144"/>
      <c r="BC45" s="145"/>
    </row>
    <row r="46" ht="15.75" customHeight="1">
      <c r="A46" s="144"/>
      <c r="BC46" s="145"/>
    </row>
    <row r="47" ht="15.75" customHeight="1">
      <c r="A47" s="146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8"/>
    </row>
    <row r="48" ht="15.75" customHeight="1"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</sheetData>
  <mergeCells count="28">
    <mergeCell ref="P11:T11"/>
    <mergeCell ref="U11:Y11"/>
    <mergeCell ref="Z11:AD11"/>
    <mergeCell ref="AE11:AI11"/>
    <mergeCell ref="AJ11:AN11"/>
    <mergeCell ref="AO11:AS11"/>
    <mergeCell ref="AT11:AX11"/>
    <mergeCell ref="AY11:BC11"/>
    <mergeCell ref="A1:BC7"/>
    <mergeCell ref="B9:B11"/>
    <mergeCell ref="C9:BC10"/>
    <mergeCell ref="A22:B26"/>
    <mergeCell ref="C25:BC25"/>
    <mergeCell ref="A27:BC47"/>
    <mergeCell ref="C23:BC23"/>
    <mergeCell ref="C24:BC24"/>
    <mergeCell ref="AE20:AH20"/>
    <mergeCell ref="AJ20:AM20"/>
    <mergeCell ref="AO20:AR20"/>
    <mergeCell ref="AT20:AW20"/>
    <mergeCell ref="AY20:BB20"/>
    <mergeCell ref="E11:I11"/>
    <mergeCell ref="J11:O11"/>
    <mergeCell ref="E20:H20"/>
    <mergeCell ref="J20:N20"/>
    <mergeCell ref="P20:S20"/>
    <mergeCell ref="U20:X20"/>
    <mergeCell ref="Z20:AC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7" width="6.0"/>
    <col customWidth="1" min="8" max="8" width="5.86"/>
    <col customWidth="1" min="9" max="9" width="9.86"/>
    <col customWidth="1" min="10" max="11" width="5.57"/>
    <col customWidth="1" min="12" max="12" width="6.43"/>
    <col customWidth="1" min="13" max="14" width="5.0"/>
    <col customWidth="1" min="15" max="15" width="9.57"/>
    <col customWidth="1" min="16" max="16" width="5.29"/>
    <col customWidth="1" min="17" max="19" width="5.86"/>
    <col customWidth="1" min="20" max="20" width="9.57"/>
    <col customWidth="1" min="21" max="21" width="5.86"/>
    <col customWidth="1" min="22" max="24" width="5.57"/>
    <col customWidth="1" min="25" max="25" width="10.43"/>
    <col customWidth="1" min="26" max="26" width="5.43"/>
    <col customWidth="1" min="27" max="27" width="5.86"/>
    <col customWidth="1" min="28" max="28" width="5.57"/>
    <col customWidth="1" min="29" max="29" width="5.29"/>
    <col customWidth="1" min="30" max="30" width="10.43"/>
    <col customWidth="1" min="31" max="31" width="5.57"/>
    <col customWidth="1" min="32" max="32" width="6.71"/>
    <col customWidth="1" min="33" max="34" width="6.14"/>
    <col customWidth="1" min="35" max="35" width="12.14"/>
    <col customWidth="1" min="36" max="36" width="6.71"/>
    <col customWidth="1" min="37" max="38" width="6.0"/>
    <col customWidth="1" min="39" max="39" width="6.43"/>
    <col customWidth="1" min="40" max="40" width="9.43"/>
    <col customWidth="1" min="41" max="41" width="6.0"/>
    <col customWidth="1" min="42" max="43" width="5.86"/>
    <col customWidth="1" min="44" max="44" width="6.14"/>
    <col customWidth="1" min="45" max="45" width="9.43"/>
    <col customWidth="1" min="46" max="47" width="6.71"/>
    <col customWidth="1" min="48" max="49" width="6.57"/>
    <col customWidth="1" min="50" max="50" width="9.43"/>
    <col customWidth="1" min="51" max="51" width="6.0"/>
    <col customWidth="1" min="52" max="52" width="5.86"/>
    <col customWidth="1" min="53" max="53" width="6.71"/>
    <col customWidth="1" min="54" max="54" width="7.0"/>
    <col customWidth="1" min="55" max="55" width="9.43"/>
  </cols>
  <sheetData>
    <row r="9">
      <c r="B9" s="53" t="s">
        <v>58</v>
      </c>
      <c r="C9" s="54" t="s">
        <v>95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64</v>
      </c>
      <c r="Q11" s="64"/>
      <c r="R11" s="64"/>
      <c r="S11" s="64"/>
      <c r="T11" s="25"/>
      <c r="U11" s="63" t="s">
        <v>65</v>
      </c>
      <c r="V11" s="64"/>
      <c r="W11" s="64"/>
      <c r="X11" s="64"/>
      <c r="Y11" s="25"/>
      <c r="Z11" s="63" t="s">
        <v>66</v>
      </c>
      <c r="AA11" s="64"/>
      <c r="AB11" s="64"/>
      <c r="AC11" s="64"/>
      <c r="AD11" s="25"/>
      <c r="AE11" s="63" t="s">
        <v>67</v>
      </c>
      <c r="AF11" s="64"/>
      <c r="AG11" s="64"/>
      <c r="AH11" s="64"/>
      <c r="AI11" s="25"/>
      <c r="AJ11" s="63" t="s">
        <v>68</v>
      </c>
      <c r="AK11" s="64"/>
      <c r="AL11" s="64"/>
      <c r="AM11" s="64"/>
      <c r="AN11" s="25"/>
      <c r="AO11" s="63" t="s">
        <v>69</v>
      </c>
      <c r="AP11" s="64"/>
      <c r="AQ11" s="64"/>
      <c r="AR11" s="64"/>
      <c r="AS11" s="25"/>
      <c r="AT11" s="63" t="s">
        <v>70</v>
      </c>
      <c r="AU11" s="64"/>
      <c r="AV11" s="64"/>
      <c r="AW11" s="64"/>
      <c r="AX11" s="25"/>
      <c r="AY11" s="63" t="s">
        <v>71</v>
      </c>
      <c r="AZ11" s="64"/>
      <c r="BA11" s="64"/>
      <c r="BB11" s="64"/>
      <c r="BC11" s="25"/>
    </row>
    <row r="12">
      <c r="B12" s="65" t="s">
        <v>72</v>
      </c>
      <c r="C12" s="66" t="s">
        <v>73</v>
      </c>
      <c r="D12" s="66" t="s">
        <v>73</v>
      </c>
      <c r="E12" s="67">
        <v>44317.0</v>
      </c>
      <c r="F12" s="67">
        <v>44532.0</v>
      </c>
      <c r="G12" s="66" t="s">
        <v>74</v>
      </c>
      <c r="H12" s="66" t="s">
        <v>75</v>
      </c>
      <c r="I12" s="66" t="s">
        <v>76</v>
      </c>
      <c r="J12" s="67">
        <v>44228.0</v>
      </c>
      <c r="K12" s="67">
        <v>44441.0</v>
      </c>
      <c r="L12" s="66" t="s">
        <v>77</v>
      </c>
      <c r="M12" s="66" t="s">
        <v>78</v>
      </c>
      <c r="N12" s="66" t="s">
        <v>79</v>
      </c>
      <c r="O12" s="66" t="s">
        <v>76</v>
      </c>
      <c r="P12" s="67">
        <v>44378.0</v>
      </c>
      <c r="Q12" s="66">
        <v>2.0</v>
      </c>
      <c r="R12" s="66">
        <v>3.0</v>
      </c>
      <c r="S12" s="66">
        <v>4.0</v>
      </c>
      <c r="T12" s="66" t="s">
        <v>76</v>
      </c>
      <c r="U12" s="67">
        <v>44287.0</v>
      </c>
      <c r="V12" s="67">
        <v>44502.0</v>
      </c>
      <c r="W12" s="66" t="s">
        <v>80</v>
      </c>
      <c r="X12" s="66" t="s">
        <v>81</v>
      </c>
      <c r="Y12" s="66" t="s">
        <v>76</v>
      </c>
      <c r="Z12" s="66">
        <v>1.0</v>
      </c>
      <c r="AA12" s="66">
        <v>2.0</v>
      </c>
      <c r="AB12" s="66">
        <v>19.0</v>
      </c>
      <c r="AC12" s="66">
        <v>4.0</v>
      </c>
      <c r="AD12" s="66" t="s">
        <v>76</v>
      </c>
      <c r="AE12" s="66">
        <v>1.0</v>
      </c>
      <c r="AF12" s="66">
        <v>2.0</v>
      </c>
      <c r="AG12" s="66">
        <v>3.0</v>
      </c>
      <c r="AH12" s="66">
        <v>4.0</v>
      </c>
      <c r="AI12" s="66" t="s">
        <v>76</v>
      </c>
      <c r="AJ12" s="66">
        <v>1.0</v>
      </c>
      <c r="AK12" s="66">
        <v>2.0</v>
      </c>
      <c r="AL12" s="66">
        <v>3.0</v>
      </c>
      <c r="AM12" s="66">
        <v>4.0</v>
      </c>
      <c r="AN12" s="66" t="s">
        <v>76</v>
      </c>
      <c r="AO12" s="66">
        <v>1.0</v>
      </c>
      <c r="AP12" s="66">
        <v>2.0</v>
      </c>
      <c r="AQ12" s="66">
        <v>3.0</v>
      </c>
      <c r="AR12" s="66">
        <v>4.0</v>
      </c>
      <c r="AS12" s="66" t="s">
        <v>76</v>
      </c>
      <c r="AT12" s="66">
        <v>1.0</v>
      </c>
      <c r="AU12" s="66">
        <v>2.0</v>
      </c>
      <c r="AV12" s="66">
        <v>3.0</v>
      </c>
      <c r="AW12" s="66">
        <v>4.0</v>
      </c>
      <c r="AX12" s="66" t="s">
        <v>76</v>
      </c>
      <c r="AY12" s="66">
        <v>1.0</v>
      </c>
      <c r="AZ12" s="66">
        <v>2.0</v>
      </c>
      <c r="BA12" s="66">
        <v>3.0</v>
      </c>
      <c r="BB12" s="66">
        <v>4.0</v>
      </c>
      <c r="BC12" s="66" t="s">
        <v>76</v>
      </c>
    </row>
    <row r="13">
      <c r="B13" s="68" t="s">
        <v>82</v>
      </c>
      <c r="C13" s="69"/>
      <c r="D13" s="69"/>
      <c r="E13" s="70"/>
      <c r="F13" s="71"/>
      <c r="G13" s="71"/>
      <c r="H13" s="72"/>
      <c r="I13" s="73" t="str">
        <f t="shared" ref="I13:I19" si="1">SUM(E13:H13)</f>
        <v>0</v>
      </c>
      <c r="J13" s="74"/>
      <c r="K13" s="75"/>
      <c r="L13" s="75"/>
      <c r="M13" s="75"/>
      <c r="N13" s="76"/>
      <c r="O13" s="73" t="str">
        <f>SUM(J13:N13)</f>
        <v>0</v>
      </c>
      <c r="P13" s="70"/>
      <c r="Q13" s="71"/>
      <c r="R13" s="71"/>
      <c r="S13" s="72"/>
      <c r="T13" s="73" t="str">
        <f t="shared" ref="T13:T19" si="2">SUM(P13:S13)</f>
        <v>0</v>
      </c>
      <c r="U13" s="74"/>
      <c r="V13" s="75"/>
      <c r="W13" s="75"/>
      <c r="X13" s="76"/>
      <c r="Y13" s="73" t="str">
        <f t="shared" ref="Y13:Y19" si="3">SUM(U13:X13)</f>
        <v>0</v>
      </c>
      <c r="Z13" s="77" t="s">
        <v>73</v>
      </c>
      <c r="AA13" s="78" t="s">
        <v>73</v>
      </c>
      <c r="AB13" s="78">
        <v>329.0</v>
      </c>
      <c r="AC13" s="79"/>
      <c r="AD13" s="73" t="str">
        <f t="shared" ref="AD13:AD19" si="4">SUM(Z13:AC13)</f>
        <v>329</v>
      </c>
      <c r="AE13" s="77"/>
      <c r="AF13" s="78"/>
      <c r="AG13" s="78"/>
      <c r="AH13" s="79"/>
      <c r="AI13" s="73" t="str">
        <f t="shared" ref="AI13:AI19" si="5">SUM(AE13:AH13)</f>
        <v>0</v>
      </c>
      <c r="AJ13" s="77" t="s">
        <v>12</v>
      </c>
      <c r="AK13" s="78">
        <v>249.2</v>
      </c>
      <c r="AL13" s="78"/>
      <c r="AM13" s="79"/>
      <c r="AN13" s="73" t="str">
        <f t="shared" ref="AN13:AN19" si="6">SUM(AJ13:AM13)</f>
        <v>249.2</v>
      </c>
      <c r="AO13" s="77"/>
      <c r="AP13" s="78"/>
      <c r="AQ13" s="78"/>
      <c r="AR13" s="79"/>
      <c r="AS13" s="73" t="str">
        <f t="shared" ref="AS13:AS19" si="7">SUM(AO13:AR13)</f>
        <v>0</v>
      </c>
      <c r="AT13" s="77"/>
      <c r="AU13" s="78"/>
      <c r="AV13" s="78"/>
      <c r="AW13" s="79"/>
      <c r="AX13" s="73" t="str">
        <f t="shared" ref="AX13:AX19" si="8">SUM(AT13:AW13)</f>
        <v>0</v>
      </c>
      <c r="AY13" s="77"/>
      <c r="AZ13" s="78"/>
      <c r="BA13" s="78"/>
      <c r="BB13" s="79"/>
      <c r="BC13" s="73" t="str">
        <f t="shared" ref="BC13:BC19" si="9">SUM(AY13:BB13)</f>
        <v>0</v>
      </c>
    </row>
    <row r="14">
      <c r="B14" s="80" t="s">
        <v>84</v>
      </c>
      <c r="C14" s="81"/>
      <c r="D14" s="81"/>
      <c r="E14" s="82"/>
      <c r="F14" s="83"/>
      <c r="G14" s="83"/>
      <c r="H14" s="84"/>
      <c r="I14" s="85" t="str">
        <f t="shared" si="1"/>
        <v>0</v>
      </c>
      <c r="J14" s="86"/>
      <c r="K14" s="87"/>
      <c r="L14" s="87"/>
      <c r="M14" s="87"/>
      <c r="N14" s="88"/>
      <c r="O14" s="85" t="str">
        <f t="shared" ref="O14:O16" si="10">SUM(J14:M14)</f>
        <v>0</v>
      </c>
      <c r="P14" s="82"/>
      <c r="Q14" s="83"/>
      <c r="R14" s="83"/>
      <c r="S14" s="84"/>
      <c r="T14" s="85" t="str">
        <f t="shared" si="2"/>
        <v>0</v>
      </c>
      <c r="U14" s="86"/>
      <c r="V14" s="87"/>
      <c r="W14" s="87"/>
      <c r="X14" s="88"/>
      <c r="Y14" s="85" t="str">
        <f t="shared" si="3"/>
        <v>0</v>
      </c>
      <c r="Z14" s="89"/>
      <c r="AA14" s="90"/>
      <c r="AB14" s="90"/>
      <c r="AC14" s="91"/>
      <c r="AD14" s="85" t="str">
        <f t="shared" si="4"/>
        <v>0</v>
      </c>
      <c r="AE14" s="89"/>
      <c r="AF14" s="90"/>
      <c r="AG14" s="90"/>
      <c r="AH14" s="91"/>
      <c r="AI14" s="85" t="str">
        <f t="shared" si="5"/>
        <v>0</v>
      </c>
      <c r="AJ14" s="89"/>
      <c r="AK14" s="90"/>
      <c r="AL14" s="90"/>
      <c r="AM14" s="91"/>
      <c r="AN14" s="85" t="str">
        <f t="shared" si="6"/>
        <v>0</v>
      </c>
      <c r="AO14" s="89"/>
      <c r="AP14" s="90"/>
      <c r="AQ14" s="90"/>
      <c r="AR14" s="91"/>
      <c r="AS14" s="85" t="str">
        <f t="shared" si="7"/>
        <v>0</v>
      </c>
      <c r="AT14" s="89"/>
      <c r="AU14" s="90"/>
      <c r="AV14" s="90"/>
      <c r="AW14" s="91"/>
      <c r="AX14" s="85" t="str">
        <f t="shared" si="8"/>
        <v>0</v>
      </c>
      <c r="AY14" s="89"/>
      <c r="AZ14" s="90"/>
      <c r="BA14" s="90"/>
      <c r="BB14" s="91"/>
      <c r="BC14" s="85" t="str">
        <f t="shared" si="9"/>
        <v>0</v>
      </c>
    </row>
    <row r="15">
      <c r="B15" s="92" t="s">
        <v>85</v>
      </c>
      <c r="C15" s="93"/>
      <c r="D15" s="93"/>
      <c r="E15" s="94"/>
      <c r="F15" s="95"/>
      <c r="G15" s="95"/>
      <c r="H15" s="96"/>
      <c r="I15" s="97" t="str">
        <f t="shared" si="1"/>
        <v>0</v>
      </c>
      <c r="J15" s="98"/>
      <c r="K15" s="99"/>
      <c r="L15" s="99"/>
      <c r="M15" s="99"/>
      <c r="N15" s="100"/>
      <c r="O15" s="97" t="str">
        <f t="shared" si="10"/>
        <v>0</v>
      </c>
      <c r="P15" s="94"/>
      <c r="Q15" s="95"/>
      <c r="R15" s="95"/>
      <c r="S15" s="96"/>
      <c r="T15" s="97" t="str">
        <f t="shared" si="2"/>
        <v>0</v>
      </c>
      <c r="U15" s="98"/>
      <c r="V15" s="99"/>
      <c r="W15" s="99"/>
      <c r="X15" s="100"/>
      <c r="Y15" s="97" t="str">
        <f t="shared" si="3"/>
        <v>0</v>
      </c>
      <c r="Z15" s="101"/>
      <c r="AA15" s="102"/>
      <c r="AB15" s="102"/>
      <c r="AC15" s="103"/>
      <c r="AD15" s="97" t="str">
        <f t="shared" si="4"/>
        <v>0</v>
      </c>
      <c r="AE15" s="101"/>
      <c r="AF15" s="102"/>
      <c r="AG15" s="102"/>
      <c r="AH15" s="103"/>
      <c r="AI15" s="97" t="str">
        <f t="shared" si="5"/>
        <v>0</v>
      </c>
      <c r="AJ15" s="101"/>
      <c r="AK15" s="102"/>
      <c r="AL15" s="102"/>
      <c r="AM15" s="103"/>
      <c r="AN15" s="97" t="str">
        <f t="shared" si="6"/>
        <v>0</v>
      </c>
      <c r="AO15" s="101"/>
      <c r="AP15" s="102"/>
      <c r="AQ15" s="102"/>
      <c r="AR15" s="103"/>
      <c r="AS15" s="97" t="str">
        <f t="shared" si="7"/>
        <v>0</v>
      </c>
      <c r="AT15" s="101"/>
      <c r="AU15" s="102"/>
      <c r="AV15" s="102"/>
      <c r="AW15" s="103"/>
      <c r="AX15" s="97" t="str">
        <f t="shared" si="8"/>
        <v>0</v>
      </c>
      <c r="AY15" s="101"/>
      <c r="AZ15" s="102"/>
      <c r="BA15" s="102"/>
      <c r="BB15" s="103"/>
      <c r="BC15" s="97" t="str">
        <f t="shared" si="9"/>
        <v>0</v>
      </c>
    </row>
    <row r="16">
      <c r="B16" s="92" t="s">
        <v>86</v>
      </c>
      <c r="C16" s="93"/>
      <c r="D16" s="93"/>
      <c r="E16" s="94"/>
      <c r="F16" s="95"/>
      <c r="G16" s="95"/>
      <c r="H16" s="96"/>
      <c r="I16" s="97" t="str">
        <f t="shared" si="1"/>
        <v>0</v>
      </c>
      <c r="J16" s="98"/>
      <c r="K16" s="99"/>
      <c r="L16" s="99"/>
      <c r="M16" s="99"/>
      <c r="N16" s="100"/>
      <c r="O16" s="97" t="str">
        <f t="shared" si="10"/>
        <v>0</v>
      </c>
      <c r="P16" s="94"/>
      <c r="Q16" s="95"/>
      <c r="R16" s="95"/>
      <c r="S16" s="96"/>
      <c r="T16" s="97" t="str">
        <f t="shared" si="2"/>
        <v>0</v>
      </c>
      <c r="U16" s="98"/>
      <c r="V16" s="99"/>
      <c r="W16" s="99"/>
      <c r="X16" s="100"/>
      <c r="Y16" s="97" t="str">
        <f t="shared" si="3"/>
        <v>0</v>
      </c>
      <c r="Z16" s="101"/>
      <c r="AA16" s="102"/>
      <c r="AB16" s="102"/>
      <c r="AC16" s="103"/>
      <c r="AD16" s="97" t="str">
        <f t="shared" si="4"/>
        <v>0</v>
      </c>
      <c r="AE16" s="101"/>
      <c r="AF16" s="102"/>
      <c r="AG16" s="102"/>
      <c r="AH16" s="103"/>
      <c r="AI16" s="97" t="str">
        <f t="shared" si="5"/>
        <v>0</v>
      </c>
      <c r="AJ16" s="101"/>
      <c r="AK16" s="102"/>
      <c r="AL16" s="102"/>
      <c r="AM16" s="103"/>
      <c r="AN16" s="97" t="str">
        <f t="shared" si="6"/>
        <v>0</v>
      </c>
      <c r="AO16" s="101"/>
      <c r="AP16" s="102"/>
      <c r="AQ16" s="102"/>
      <c r="AR16" s="103"/>
      <c r="AS16" s="97" t="str">
        <f t="shared" si="7"/>
        <v>0</v>
      </c>
      <c r="AT16" s="101"/>
      <c r="AU16" s="102"/>
      <c r="AV16" s="102"/>
      <c r="AW16" s="103"/>
      <c r="AX16" s="97" t="str">
        <f t="shared" si="8"/>
        <v>0</v>
      </c>
      <c r="AY16" s="101"/>
      <c r="AZ16" s="102"/>
      <c r="BA16" s="102"/>
      <c r="BB16" s="103"/>
      <c r="BC16" s="97" t="str">
        <f t="shared" si="9"/>
        <v>0</v>
      </c>
    </row>
    <row r="17">
      <c r="B17" s="104" t="s">
        <v>87</v>
      </c>
      <c r="C17" s="105"/>
      <c r="D17" s="105"/>
      <c r="E17" s="106"/>
      <c r="F17" s="107"/>
      <c r="G17" s="107"/>
      <c r="H17" s="108"/>
      <c r="I17" s="109" t="str">
        <f t="shared" si="1"/>
        <v>0</v>
      </c>
      <c r="J17" s="110"/>
      <c r="K17" s="111"/>
      <c r="L17" s="111"/>
      <c r="M17" s="111"/>
      <c r="N17" s="112"/>
      <c r="O17" s="109" t="str">
        <f>SUM(J17:N17)</f>
        <v>0</v>
      </c>
      <c r="P17" s="106"/>
      <c r="Q17" s="107"/>
      <c r="R17" s="107"/>
      <c r="S17" s="108"/>
      <c r="T17" s="109" t="str">
        <f t="shared" si="2"/>
        <v>0</v>
      </c>
      <c r="U17" s="110"/>
      <c r="V17" s="111"/>
      <c r="W17" s="111"/>
      <c r="X17" s="112"/>
      <c r="Y17" s="109" t="str">
        <f t="shared" si="3"/>
        <v>0</v>
      </c>
      <c r="Z17" s="113"/>
      <c r="AA17" s="114"/>
      <c r="AB17" s="114"/>
      <c r="AC17" s="115"/>
      <c r="AD17" s="109" t="str">
        <f t="shared" si="4"/>
        <v>0</v>
      </c>
      <c r="AE17" s="113"/>
      <c r="AF17" s="114"/>
      <c r="AG17" s="114"/>
      <c r="AH17" s="115"/>
      <c r="AI17" s="109" t="str">
        <f t="shared" si="5"/>
        <v>0</v>
      </c>
      <c r="AJ17" s="113"/>
      <c r="AK17" s="114"/>
      <c r="AL17" s="114"/>
      <c r="AM17" s="115"/>
      <c r="AN17" s="109" t="str">
        <f t="shared" si="6"/>
        <v>0</v>
      </c>
      <c r="AO17" s="113"/>
      <c r="AP17" s="114"/>
      <c r="AQ17" s="114"/>
      <c r="AR17" s="115"/>
      <c r="AS17" s="109" t="str">
        <f t="shared" si="7"/>
        <v>0</v>
      </c>
      <c r="AT17" s="113"/>
      <c r="AU17" s="114"/>
      <c r="AV17" s="114"/>
      <c r="AW17" s="115"/>
      <c r="AX17" s="109" t="str">
        <f t="shared" si="8"/>
        <v>0</v>
      </c>
      <c r="AY17" s="113"/>
      <c r="AZ17" s="114"/>
      <c r="BA17" s="114"/>
      <c r="BB17" s="115"/>
      <c r="BC17" s="109" t="str">
        <f t="shared" si="9"/>
        <v>0</v>
      </c>
    </row>
    <row r="18">
      <c r="B18" s="104" t="s">
        <v>88</v>
      </c>
      <c r="C18" s="105"/>
      <c r="D18" s="105"/>
      <c r="E18" s="106"/>
      <c r="F18" s="107"/>
      <c r="G18" s="107"/>
      <c r="H18" s="108"/>
      <c r="I18" s="109" t="str">
        <f t="shared" si="1"/>
        <v>0</v>
      </c>
      <c r="J18" s="110"/>
      <c r="K18" s="111"/>
      <c r="L18" s="111"/>
      <c r="M18" s="111"/>
      <c r="N18" s="112"/>
      <c r="O18" s="109" t="str">
        <f t="shared" ref="O18:O19" si="11">SUM(J18:M18)</f>
        <v>0</v>
      </c>
      <c r="P18" s="106"/>
      <c r="Q18" s="107"/>
      <c r="R18" s="107"/>
      <c r="S18" s="108"/>
      <c r="T18" s="109" t="str">
        <f t="shared" si="2"/>
        <v>0</v>
      </c>
      <c r="U18" s="110"/>
      <c r="V18" s="111"/>
      <c r="W18" s="111"/>
      <c r="X18" s="112"/>
      <c r="Y18" s="109" t="str">
        <f t="shared" si="3"/>
        <v>0</v>
      </c>
      <c r="Z18" s="113"/>
      <c r="AA18" s="114"/>
      <c r="AB18" s="114"/>
      <c r="AC18" s="115"/>
      <c r="AD18" s="109" t="str">
        <f t="shared" si="4"/>
        <v>0</v>
      </c>
      <c r="AE18" s="113"/>
      <c r="AF18" s="114"/>
      <c r="AG18" s="114"/>
      <c r="AH18" s="115"/>
      <c r="AI18" s="109" t="str">
        <f t="shared" si="5"/>
        <v>0</v>
      </c>
      <c r="AJ18" s="113"/>
      <c r="AK18" s="114"/>
      <c r="AL18" s="114"/>
      <c r="AM18" s="115"/>
      <c r="AN18" s="109" t="str">
        <f t="shared" si="6"/>
        <v>0</v>
      </c>
      <c r="AO18" s="113"/>
      <c r="AP18" s="114"/>
      <c r="AQ18" s="114"/>
      <c r="AR18" s="115"/>
      <c r="AS18" s="109" t="str">
        <f t="shared" si="7"/>
        <v>0</v>
      </c>
      <c r="AT18" s="113"/>
      <c r="AU18" s="114"/>
      <c r="AV18" s="114"/>
      <c r="AW18" s="115"/>
      <c r="AX18" s="109" t="str">
        <f t="shared" si="8"/>
        <v>0</v>
      </c>
      <c r="AY18" s="113"/>
      <c r="AZ18" s="114"/>
      <c r="BA18" s="114"/>
      <c r="BB18" s="115"/>
      <c r="BC18" s="109" t="str">
        <f t="shared" si="9"/>
        <v>0</v>
      </c>
    </row>
    <row r="19">
      <c r="B19" s="116" t="s">
        <v>89</v>
      </c>
      <c r="C19" s="117"/>
      <c r="D19" s="117"/>
      <c r="E19" s="118"/>
      <c r="F19" s="119"/>
      <c r="G19" s="119"/>
      <c r="H19" s="120"/>
      <c r="I19" s="121" t="str">
        <f t="shared" si="1"/>
        <v>0</v>
      </c>
      <c r="J19" s="122"/>
      <c r="K19" s="123"/>
      <c r="L19" s="123"/>
      <c r="M19" s="123"/>
      <c r="N19" s="124"/>
      <c r="O19" s="125" t="str">
        <f t="shared" si="11"/>
        <v>0</v>
      </c>
      <c r="P19" s="118"/>
      <c r="Q19" s="119"/>
      <c r="R19" s="119"/>
      <c r="S19" s="120"/>
      <c r="T19" s="125" t="str">
        <f t="shared" si="2"/>
        <v>0</v>
      </c>
      <c r="U19" s="122"/>
      <c r="V19" s="123"/>
      <c r="W19" s="123"/>
      <c r="X19" s="124"/>
      <c r="Y19" s="126" t="str">
        <f t="shared" si="3"/>
        <v>0</v>
      </c>
      <c r="Z19" s="127"/>
      <c r="AA19" s="128"/>
      <c r="AB19" s="128"/>
      <c r="AC19" s="129"/>
      <c r="AD19" s="125" t="str">
        <f t="shared" si="4"/>
        <v>0</v>
      </c>
      <c r="AE19" s="127">
        <v>3.0</v>
      </c>
      <c r="AF19" s="128">
        <v>3.0</v>
      </c>
      <c r="AG19" s="128">
        <v>2.0</v>
      </c>
      <c r="AH19" s="129">
        <v>4.0</v>
      </c>
      <c r="AI19" s="126" t="str">
        <f t="shared" si="5"/>
        <v>12</v>
      </c>
      <c r="AJ19" s="127"/>
      <c r="AK19" s="128"/>
      <c r="AL19" s="128"/>
      <c r="AM19" s="129"/>
      <c r="AN19" s="125" t="str">
        <f t="shared" si="6"/>
        <v>0</v>
      </c>
      <c r="AO19" s="127"/>
      <c r="AP19" s="128"/>
      <c r="AQ19" s="128"/>
      <c r="AR19" s="129"/>
      <c r="AS19" s="125" t="str">
        <f t="shared" si="7"/>
        <v>0</v>
      </c>
      <c r="AT19" s="127"/>
      <c r="AU19" s="128"/>
      <c r="AV19" s="128"/>
      <c r="AW19" s="129"/>
      <c r="AX19" s="125" t="str">
        <f t="shared" si="8"/>
        <v>0</v>
      </c>
      <c r="AY19" s="127"/>
      <c r="AZ19" s="128"/>
      <c r="BA19" s="128"/>
      <c r="BB19" s="129"/>
      <c r="BC19" s="125" t="str">
        <f t="shared" si="9"/>
        <v>0</v>
      </c>
    </row>
    <row r="20">
      <c r="B20" s="130" t="s">
        <v>90</v>
      </c>
      <c r="C20" s="131" t="str">
        <f t="shared" ref="C20:D20" si="12">SUM(C13:C19)</f>
        <v>0</v>
      </c>
      <c r="D20" s="132" t="str">
        <f t="shared" si="12"/>
        <v>0</v>
      </c>
      <c r="E20" s="133"/>
      <c r="F20" s="134"/>
      <c r="G20" s="134"/>
      <c r="H20" s="135"/>
      <c r="I20" s="132" t="str">
        <f>SUM(I13:I19)</f>
        <v>0</v>
      </c>
      <c r="J20" s="133"/>
      <c r="K20" s="134"/>
      <c r="L20" s="134"/>
      <c r="M20" s="134"/>
      <c r="N20" s="135"/>
      <c r="O20" s="136" t="str">
        <f>SUM(O13:O19)</f>
        <v>0</v>
      </c>
      <c r="P20" s="133"/>
      <c r="Q20" s="134"/>
      <c r="R20" s="134"/>
      <c r="S20" s="135"/>
      <c r="T20" s="136" t="str">
        <f>SUM(T13:T19)</f>
        <v>0</v>
      </c>
      <c r="U20" s="137"/>
      <c r="V20" s="134"/>
      <c r="W20" s="134"/>
      <c r="X20" s="135"/>
      <c r="Y20" s="136" t="str">
        <f>SUM(Y13:Y19)</f>
        <v>0</v>
      </c>
      <c r="Z20" s="133"/>
      <c r="AA20" s="134"/>
      <c r="AB20" s="134"/>
      <c r="AC20" s="135"/>
      <c r="AD20" s="136" t="str">
        <f>SUM(AD13:AD19)</f>
        <v>329</v>
      </c>
      <c r="AE20" s="133"/>
      <c r="AF20" s="134"/>
      <c r="AG20" s="134"/>
      <c r="AH20" s="135"/>
      <c r="AI20" s="136" t="str">
        <f>SUM(AI13:AI19)</f>
        <v>12</v>
      </c>
      <c r="AJ20" s="133"/>
      <c r="AK20" s="134"/>
      <c r="AL20" s="134"/>
      <c r="AM20" s="135"/>
      <c r="AN20" s="136" t="str">
        <f>SUM(AN13:AN19)</f>
        <v>249.2</v>
      </c>
      <c r="AO20" s="133"/>
      <c r="AP20" s="134"/>
      <c r="AQ20" s="134"/>
      <c r="AR20" s="135"/>
      <c r="AS20" s="136" t="str">
        <f>SUM(AS13:AS19)</f>
        <v>0</v>
      </c>
      <c r="AT20" s="133"/>
      <c r="AU20" s="134"/>
      <c r="AV20" s="134"/>
      <c r="AW20" s="135"/>
      <c r="AX20" s="136" t="str">
        <f>SUM(AX13:AX19)</f>
        <v>0</v>
      </c>
      <c r="AY20" s="133"/>
      <c r="AZ20" s="134"/>
      <c r="BA20" s="134"/>
      <c r="BB20" s="135"/>
      <c r="BC20" s="136" t="str">
        <f>SUM(BC13:BC19)</f>
        <v>0</v>
      </c>
    </row>
    <row r="21" ht="15.75" customHeight="1"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</row>
    <row r="22" ht="15.75" customHeight="1">
      <c r="C22" s="139" t="s">
        <v>91</v>
      </c>
    </row>
    <row r="23" ht="15.75" customHeight="1">
      <c r="C23" s="140" t="s">
        <v>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4"/>
    </row>
    <row r="24" ht="15.75" customHeight="1">
      <c r="C24" s="140" t="s">
        <v>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4"/>
    </row>
    <row r="25" ht="15.75" customHeight="1">
      <c r="C25" s="140" t="s">
        <v>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4"/>
    </row>
    <row r="26" ht="15.75" customHeight="1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 ht="15.75" customHeight="1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3"/>
    </row>
    <row r="28" ht="15.75" customHeight="1">
      <c r="A28" s="144"/>
      <c r="BC28" s="145"/>
    </row>
    <row r="29" ht="15.75" customHeight="1">
      <c r="A29" s="144"/>
      <c r="BC29" s="145"/>
    </row>
    <row r="30" ht="15.75" customHeight="1">
      <c r="A30" s="144"/>
      <c r="BC30" s="145"/>
    </row>
    <row r="31" ht="15.75" customHeight="1">
      <c r="A31" s="144"/>
      <c r="BC31" s="145"/>
    </row>
    <row r="32" ht="15.75" customHeight="1">
      <c r="A32" s="144"/>
      <c r="BC32" s="145"/>
    </row>
    <row r="33" ht="15.75" customHeight="1">
      <c r="A33" s="144"/>
      <c r="BC33" s="145"/>
    </row>
    <row r="34" ht="15.75" customHeight="1">
      <c r="A34" s="144"/>
      <c r="BC34" s="145"/>
    </row>
    <row r="35" ht="15.75" customHeight="1">
      <c r="A35" s="144"/>
      <c r="BC35" s="145"/>
    </row>
    <row r="36" ht="15.75" customHeight="1">
      <c r="A36" s="144"/>
      <c r="BC36" s="145"/>
    </row>
    <row r="37" ht="15.75" customHeight="1">
      <c r="A37" s="144"/>
      <c r="BC37" s="145"/>
    </row>
    <row r="38" ht="15.75" customHeight="1">
      <c r="A38" s="144"/>
      <c r="BC38" s="145"/>
    </row>
    <row r="39" ht="15.75" customHeight="1">
      <c r="A39" s="144"/>
      <c r="BC39" s="145"/>
    </row>
    <row r="40" ht="15.75" customHeight="1">
      <c r="A40" s="144"/>
      <c r="BC40" s="145"/>
    </row>
    <row r="41" ht="15.75" customHeight="1">
      <c r="A41" s="144"/>
      <c r="BC41" s="145"/>
    </row>
    <row r="42" ht="15.75" customHeight="1">
      <c r="A42" s="144"/>
      <c r="BC42" s="145"/>
    </row>
    <row r="43" ht="15.75" customHeight="1">
      <c r="A43" s="144"/>
      <c r="BC43" s="145"/>
    </row>
    <row r="44" ht="15.75" customHeight="1">
      <c r="A44" s="144"/>
      <c r="BC44" s="145"/>
    </row>
    <row r="45" ht="15.75" customHeight="1">
      <c r="A45" s="144"/>
      <c r="BC45" s="145"/>
    </row>
    <row r="46" ht="15.75" customHeight="1">
      <c r="A46" s="144"/>
      <c r="BC46" s="145"/>
    </row>
    <row r="47" ht="15.75" customHeight="1">
      <c r="A47" s="146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8"/>
    </row>
    <row r="48" ht="15.75" customHeight="1"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</sheetData>
  <mergeCells count="28">
    <mergeCell ref="P11:T11"/>
    <mergeCell ref="U11:Y11"/>
    <mergeCell ref="Z11:AD11"/>
    <mergeCell ref="AE11:AI11"/>
    <mergeCell ref="AJ11:AN11"/>
    <mergeCell ref="AO11:AS11"/>
    <mergeCell ref="AT11:AX11"/>
    <mergeCell ref="AY11:BC11"/>
    <mergeCell ref="A1:BC7"/>
    <mergeCell ref="B9:B11"/>
    <mergeCell ref="C9:BC10"/>
    <mergeCell ref="A22:B26"/>
    <mergeCell ref="C25:BC25"/>
    <mergeCell ref="A27:BC47"/>
    <mergeCell ref="C23:BC23"/>
    <mergeCell ref="C24:BC24"/>
    <mergeCell ref="AE20:AH20"/>
    <mergeCell ref="AJ20:AM20"/>
    <mergeCell ref="AO20:AR20"/>
    <mergeCell ref="AT20:AW20"/>
    <mergeCell ref="AY20:BB20"/>
    <mergeCell ref="E11:I11"/>
    <mergeCell ref="J11:O11"/>
    <mergeCell ref="E20:H20"/>
    <mergeCell ref="J20:N20"/>
    <mergeCell ref="P20:S20"/>
    <mergeCell ref="U20:X20"/>
    <mergeCell ref="Z20:AC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5.57"/>
    <col customWidth="1" min="31" max="31" width="6.71"/>
    <col customWidth="1" min="32" max="33" width="6.14"/>
    <col customWidth="1" min="34" max="34" width="12.14"/>
    <col customWidth="1" min="35" max="35" width="6.71"/>
    <col customWidth="1" min="36" max="37" width="6.0"/>
    <col customWidth="1" min="38" max="38" width="6.43"/>
    <col customWidth="1" min="39" max="39" width="9.43"/>
    <col customWidth="1" min="40" max="40" width="6.0"/>
    <col customWidth="1" min="41" max="42" width="5.86"/>
    <col customWidth="1" min="43" max="43" width="6.14"/>
    <col customWidth="1" min="44" max="44" width="9.43"/>
    <col customWidth="1" min="45" max="46" width="6.71"/>
    <col customWidth="1" min="47" max="48" width="6.57"/>
    <col customWidth="1" min="49" max="49" width="9.43"/>
    <col customWidth="1" min="50" max="50" width="6.0"/>
    <col customWidth="1" min="51" max="51" width="5.86"/>
    <col customWidth="1" min="52" max="52" width="6.71"/>
    <col customWidth="1" min="53" max="53" width="7.0"/>
    <col customWidth="1" min="54" max="54" width="9.43"/>
  </cols>
  <sheetData>
    <row r="9">
      <c r="B9" s="53" t="s">
        <v>58</v>
      </c>
      <c r="C9" s="54" t="s">
        <v>96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67</v>
      </c>
      <c r="AE11" s="64"/>
      <c r="AF11" s="64"/>
      <c r="AG11" s="64"/>
      <c r="AH11" s="25"/>
      <c r="AI11" s="63" t="s">
        <v>68</v>
      </c>
      <c r="AJ11" s="64"/>
      <c r="AK11" s="64"/>
      <c r="AL11" s="64"/>
      <c r="AM11" s="25"/>
      <c r="AN11" s="63" t="s">
        <v>69</v>
      </c>
      <c r="AO11" s="64"/>
      <c r="AP11" s="64"/>
      <c r="AQ11" s="64"/>
      <c r="AR11" s="25"/>
      <c r="AS11" s="63" t="s">
        <v>70</v>
      </c>
      <c r="AT11" s="64"/>
      <c r="AU11" s="64"/>
      <c r="AV11" s="64"/>
      <c r="AW11" s="25"/>
      <c r="AX11" s="63" t="s">
        <v>71</v>
      </c>
      <c r="AY11" s="64"/>
      <c r="AZ11" s="64"/>
      <c r="BA11" s="64"/>
      <c r="BB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66">
        <v>1.0</v>
      </c>
      <c r="AE12" s="66">
        <v>2.0</v>
      </c>
      <c r="AF12" s="66">
        <v>3.0</v>
      </c>
      <c r="AG12" s="66">
        <v>4.0</v>
      </c>
      <c r="AH12" s="66" t="s">
        <v>76</v>
      </c>
      <c r="AI12" s="66">
        <v>1.0</v>
      </c>
      <c r="AJ12" s="66">
        <v>2.0</v>
      </c>
      <c r="AK12" s="66">
        <v>3.0</v>
      </c>
      <c r="AL12" s="66">
        <v>4.0</v>
      </c>
      <c r="AM12" s="66" t="s">
        <v>76</v>
      </c>
      <c r="AN12" s="66">
        <v>1.0</v>
      </c>
      <c r="AO12" s="66">
        <v>2.0</v>
      </c>
      <c r="AP12" s="66">
        <v>3.0</v>
      </c>
      <c r="AQ12" s="66">
        <v>4.0</v>
      </c>
      <c r="AR12" s="66" t="s">
        <v>76</v>
      </c>
      <c r="AS12" s="66">
        <v>1.0</v>
      </c>
      <c r="AT12" s="66">
        <v>2.0</v>
      </c>
      <c r="AU12" s="66">
        <v>3.0</v>
      </c>
      <c r="AV12" s="66">
        <v>4.0</v>
      </c>
      <c r="AW12" s="66" t="s">
        <v>76</v>
      </c>
      <c r="AX12" s="66">
        <v>1.0</v>
      </c>
      <c r="AY12" s="66">
        <v>2.0</v>
      </c>
      <c r="AZ12" s="66">
        <v>3.0</v>
      </c>
      <c r="BA12" s="66">
        <v>4.0</v>
      </c>
      <c r="BB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77"/>
      <c r="AE13" s="78">
        <v>19.0</v>
      </c>
      <c r="AF13" s="78">
        <v>0.0</v>
      </c>
      <c r="AG13" s="79">
        <v>5.0</v>
      </c>
      <c r="AH13" s="73" t="str">
        <f t="shared" ref="AH13:AH20" si="1">SUM(AD13:AG13)</f>
        <v>24</v>
      </c>
      <c r="AI13" s="77">
        <v>9.0</v>
      </c>
      <c r="AJ13" s="78">
        <v>6.0</v>
      </c>
      <c r="AK13" s="78">
        <v>4.0</v>
      </c>
      <c r="AL13" s="79">
        <v>7.0</v>
      </c>
      <c r="AM13" s="73" t="str">
        <f t="shared" ref="AM13:AM20" si="2">SUM(AI13:AL13)</f>
        <v>26</v>
      </c>
      <c r="AN13" s="77">
        <v>3.0</v>
      </c>
      <c r="AO13" s="78">
        <v>5.3</v>
      </c>
      <c r="AP13" s="78">
        <v>12.0</v>
      </c>
      <c r="AQ13" s="79">
        <v>15.0</v>
      </c>
      <c r="AR13" s="73" t="str">
        <f t="shared" ref="AR13:AR20" si="3">SUM(AN13:AQ13)</f>
        <v>35.3</v>
      </c>
      <c r="AS13" s="77">
        <v>7.0</v>
      </c>
      <c r="AT13" s="78">
        <v>8.0</v>
      </c>
      <c r="AU13" s="78">
        <v>6.0</v>
      </c>
      <c r="AV13" s="79">
        <v>10.0</v>
      </c>
      <c r="AW13" s="73" t="str">
        <f t="shared" ref="AW13:AW20" si="4">SUM(AS13:AV13)</f>
        <v>31</v>
      </c>
      <c r="AX13" s="77">
        <v>10.0</v>
      </c>
      <c r="AY13" s="78"/>
      <c r="AZ13" s="78"/>
      <c r="BA13" s="79"/>
      <c r="BB13" s="73" t="str">
        <f t="shared" ref="BB13:BB19" si="5">SUM(AX13:BA13)</f>
        <v>10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89"/>
      <c r="AE14" s="90"/>
      <c r="AF14" s="90">
        <v>0.0</v>
      </c>
      <c r="AG14" s="91"/>
      <c r="AH14" s="85" t="str">
        <f t="shared" si="1"/>
        <v>0</v>
      </c>
      <c r="AI14" s="89"/>
      <c r="AJ14" s="90"/>
      <c r="AK14" s="90"/>
      <c r="AL14" s="91"/>
      <c r="AM14" s="85" t="str">
        <f t="shared" si="2"/>
        <v>0</v>
      </c>
      <c r="AN14" s="89"/>
      <c r="AO14" s="90"/>
      <c r="AP14" s="90"/>
      <c r="AQ14" s="91"/>
      <c r="AR14" s="85" t="str">
        <f t="shared" si="3"/>
        <v>0</v>
      </c>
      <c r="AS14" s="89"/>
      <c r="AT14" s="90"/>
      <c r="AU14" s="90"/>
      <c r="AV14" s="91"/>
      <c r="AW14" s="85" t="str">
        <f t="shared" si="4"/>
        <v>0</v>
      </c>
      <c r="AX14" s="89"/>
      <c r="AY14" s="90"/>
      <c r="AZ14" s="90"/>
      <c r="BA14" s="91"/>
      <c r="BB14" s="85" t="str">
        <f t="shared" si="5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01"/>
      <c r="AE15" s="102">
        <v>20.0</v>
      </c>
      <c r="AF15" s="102">
        <v>0.0</v>
      </c>
      <c r="AG15" s="103">
        <v>18.0</v>
      </c>
      <c r="AH15" s="97" t="str">
        <f t="shared" si="1"/>
        <v>38</v>
      </c>
      <c r="AI15" s="101">
        <v>21.0</v>
      </c>
      <c r="AJ15" s="102">
        <v>13.0</v>
      </c>
      <c r="AK15" s="102">
        <v>18.0</v>
      </c>
      <c r="AL15" s="103">
        <v>23.0</v>
      </c>
      <c r="AM15" s="97" t="str">
        <f t="shared" si="2"/>
        <v>75</v>
      </c>
      <c r="AN15" s="101">
        <v>5.6</v>
      </c>
      <c r="AO15" s="102">
        <v>10.1</v>
      </c>
      <c r="AP15" s="102">
        <v>21.0</v>
      </c>
      <c r="AQ15" s="103">
        <v>17.0</v>
      </c>
      <c r="AR15" s="97" t="str">
        <f t="shared" si="3"/>
        <v>53.7</v>
      </c>
      <c r="AS15" s="101">
        <v>15.0</v>
      </c>
      <c r="AT15" s="102">
        <v>12.0</v>
      </c>
      <c r="AU15" s="102">
        <v>11.0</v>
      </c>
      <c r="AV15" s="103">
        <v>22.0</v>
      </c>
      <c r="AW15" s="97" t="str">
        <f t="shared" si="4"/>
        <v>60</v>
      </c>
      <c r="AX15" s="101">
        <v>17.0</v>
      </c>
      <c r="AY15" s="102"/>
      <c r="AZ15" s="102"/>
      <c r="BA15" s="103"/>
      <c r="BB15" s="97" t="str">
        <f t="shared" si="5"/>
        <v>17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01"/>
      <c r="AE16" s="102">
        <v>36.0</v>
      </c>
      <c r="AF16" s="102">
        <v>0.0</v>
      </c>
      <c r="AG16" s="103">
        <v>7.0</v>
      </c>
      <c r="AH16" s="97" t="str">
        <f t="shared" si="1"/>
        <v>43</v>
      </c>
      <c r="AI16" s="101">
        <v>9.0</v>
      </c>
      <c r="AJ16" s="102">
        <v>7.0</v>
      </c>
      <c r="AK16" s="102">
        <v>10.5</v>
      </c>
      <c r="AL16" s="103">
        <v>13.2</v>
      </c>
      <c r="AM16" s="97" t="str">
        <f t="shared" si="2"/>
        <v>39.7</v>
      </c>
      <c r="AN16" s="101">
        <v>1.6</v>
      </c>
      <c r="AO16" s="102">
        <v>3.5</v>
      </c>
      <c r="AP16" s="102">
        <v>17.0</v>
      </c>
      <c r="AQ16" s="103">
        <v>12.0</v>
      </c>
      <c r="AR16" s="97" t="str">
        <f t="shared" si="3"/>
        <v>34.1</v>
      </c>
      <c r="AS16" s="101">
        <v>15.0</v>
      </c>
      <c r="AT16" s="102">
        <v>10.0</v>
      </c>
      <c r="AU16" s="102">
        <v>24.0</v>
      </c>
      <c r="AV16" s="103">
        <v>10.0</v>
      </c>
      <c r="AW16" s="97" t="str">
        <f t="shared" si="4"/>
        <v>59</v>
      </c>
      <c r="AX16" s="101">
        <v>10.0</v>
      </c>
      <c r="AY16" s="102"/>
      <c r="AZ16" s="102"/>
      <c r="BA16" s="103"/>
      <c r="BB16" s="97" t="str">
        <f t="shared" si="5"/>
        <v>10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13"/>
      <c r="AE17" s="114">
        <v>4.0</v>
      </c>
      <c r="AF17" s="114">
        <v>0.0</v>
      </c>
      <c r="AG17" s="115"/>
      <c r="AH17" s="109" t="str">
        <f t="shared" si="1"/>
        <v>4</v>
      </c>
      <c r="AI17" s="113"/>
      <c r="AJ17" s="114">
        <v>1.0</v>
      </c>
      <c r="AK17" s="114">
        <v>1.4</v>
      </c>
      <c r="AL17" s="115"/>
      <c r="AM17" s="109" t="str">
        <f t="shared" si="2"/>
        <v>2.4</v>
      </c>
      <c r="AN17" s="113">
        <v>1.0</v>
      </c>
      <c r="AO17" s="114"/>
      <c r="AP17" s="114">
        <v>3.0</v>
      </c>
      <c r="AQ17" s="115"/>
      <c r="AR17" s="97" t="str">
        <f t="shared" si="3"/>
        <v>4</v>
      </c>
      <c r="AS17" s="113">
        <v>3.0</v>
      </c>
      <c r="AT17" s="114"/>
      <c r="AU17" s="114">
        <v>3.0</v>
      </c>
      <c r="AV17" s="115">
        <v>0.5</v>
      </c>
      <c r="AW17" s="109" t="str">
        <f t="shared" si="4"/>
        <v>6.5</v>
      </c>
      <c r="AX17" s="113">
        <v>4.0</v>
      </c>
      <c r="AY17" s="114"/>
      <c r="AZ17" s="114"/>
      <c r="BA17" s="115"/>
      <c r="BB17" s="109" t="str">
        <f t="shared" si="5"/>
        <v>4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13"/>
      <c r="AE18" s="114"/>
      <c r="AF18" s="114"/>
      <c r="AG18" s="115"/>
      <c r="AH18" s="163" t="str">
        <f t="shared" si="1"/>
        <v>0</v>
      </c>
      <c r="AI18" s="113"/>
      <c r="AJ18" s="114"/>
      <c r="AK18" s="114"/>
      <c r="AL18" s="115"/>
      <c r="AM18" s="163" t="str">
        <f t="shared" si="2"/>
        <v>0</v>
      </c>
      <c r="AN18" s="113"/>
      <c r="AO18" s="114"/>
      <c r="AP18" s="114"/>
      <c r="AQ18" s="115"/>
      <c r="AR18" s="97" t="str">
        <f t="shared" si="3"/>
        <v>0</v>
      </c>
      <c r="AS18" s="113"/>
      <c r="AT18" s="114"/>
      <c r="AU18" s="114"/>
      <c r="AV18" s="115"/>
      <c r="AW18" s="109" t="str">
        <f t="shared" si="4"/>
        <v>0</v>
      </c>
      <c r="AX18" s="113"/>
      <c r="AY18" s="114"/>
      <c r="AZ18" s="114"/>
      <c r="BA18" s="115"/>
      <c r="BB18" s="109" t="str">
        <f t="shared" si="5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7"/>
      <c r="AE19" s="167"/>
      <c r="AF19" s="167"/>
      <c r="AG19" s="167"/>
      <c r="AH19" s="167" t="str">
        <f t="shared" si="1"/>
        <v>0</v>
      </c>
      <c r="AI19" s="167"/>
      <c r="AJ19" s="167"/>
      <c r="AK19" s="167"/>
      <c r="AL19" s="167"/>
      <c r="AM19" s="168" t="str">
        <f t="shared" si="2"/>
        <v>0</v>
      </c>
      <c r="AN19" s="167"/>
      <c r="AO19" s="167"/>
      <c r="AP19" s="167"/>
      <c r="AQ19" s="167"/>
      <c r="AR19" s="97" t="str">
        <f t="shared" si="3"/>
        <v>0</v>
      </c>
      <c r="AS19" s="127"/>
      <c r="AT19" s="128"/>
      <c r="AU19" s="128"/>
      <c r="AV19" s="129"/>
      <c r="AW19" s="125" t="str">
        <f t="shared" si="4"/>
        <v>0</v>
      </c>
      <c r="AX19" s="127"/>
      <c r="AY19" s="128"/>
      <c r="AZ19" s="128"/>
      <c r="BA19" s="129"/>
      <c r="BB19" s="125" t="str">
        <f t="shared" si="5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67"/>
      <c r="AE20" s="167">
        <v>5.0</v>
      </c>
      <c r="AF20" s="167">
        <v>0.0</v>
      </c>
      <c r="AG20" s="167">
        <v>10.0</v>
      </c>
      <c r="AH20" s="167" t="str">
        <f t="shared" si="1"/>
        <v>15</v>
      </c>
      <c r="AI20" s="167">
        <v>13.0</v>
      </c>
      <c r="AJ20" s="167">
        <v>7.6</v>
      </c>
      <c r="AK20" s="167">
        <v>6.9</v>
      </c>
      <c r="AL20" s="167">
        <v>12.5</v>
      </c>
      <c r="AM20" s="168" t="str">
        <f t="shared" si="2"/>
        <v>40</v>
      </c>
      <c r="AN20" s="167">
        <v>4.0</v>
      </c>
      <c r="AO20" s="167">
        <v>6.5</v>
      </c>
      <c r="AP20" s="167">
        <v>10.0</v>
      </c>
      <c r="AQ20" s="167">
        <v>12.0</v>
      </c>
      <c r="AR20" s="97" t="str">
        <f t="shared" si="3"/>
        <v>32.5</v>
      </c>
      <c r="AS20" s="172">
        <v>15.0</v>
      </c>
      <c r="AT20" s="172">
        <v>13.0</v>
      </c>
      <c r="AU20" s="172">
        <v>17.0</v>
      </c>
      <c r="AV20" s="172">
        <v>12.0</v>
      </c>
      <c r="AW20" s="170" t="str">
        <f t="shared" si="4"/>
        <v>57</v>
      </c>
      <c r="AX20" s="173">
        <v>44631.0</v>
      </c>
      <c r="AY20" s="172"/>
      <c r="AZ20" s="172"/>
      <c r="BA20" s="172"/>
      <c r="BB20" s="170"/>
    </row>
    <row r="21" ht="15.75" customHeight="1">
      <c r="B21" s="130" t="s">
        <v>90</v>
      </c>
      <c r="C21" s="131" t="str">
        <f t="shared" ref="C21:D21" si="6">SUM(C13:C19)</f>
        <v>0</v>
      </c>
      <c r="D21" s="132" t="str">
        <f t="shared" si="6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74"/>
      <c r="AE21" s="175"/>
      <c r="AF21" s="175"/>
      <c r="AG21" s="176"/>
      <c r="AH21" s="132" t="str">
        <f>SUM(AH13:AH20)</f>
        <v>124</v>
      </c>
      <c r="AI21" s="174"/>
      <c r="AJ21" s="175"/>
      <c r="AK21" s="175"/>
      <c r="AL21" s="176"/>
      <c r="AM21" s="132" t="str">
        <f>SUM(AM13:AM19)</f>
        <v>143.1</v>
      </c>
      <c r="AN21" s="174"/>
      <c r="AO21" s="175"/>
      <c r="AP21" s="175"/>
      <c r="AQ21" s="176"/>
      <c r="AR21" s="132" t="str">
        <f>SUM(AR13:AR20)</f>
        <v>159.6</v>
      </c>
      <c r="AS21" s="133"/>
      <c r="AT21" s="134"/>
      <c r="AU21" s="134"/>
      <c r="AV21" s="135"/>
      <c r="AW21" s="136" t="str">
        <f>SUM(AW13:AW20)</f>
        <v>213.5</v>
      </c>
      <c r="AX21" s="133"/>
      <c r="AY21" s="134"/>
      <c r="AZ21" s="134"/>
      <c r="BA21" s="135"/>
      <c r="BB21" s="136" t="str">
        <f>SUM(BB13:BB19)</f>
        <v>41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</row>
    <row r="23" ht="15.75" customHeight="1">
      <c r="C23" s="139" t="s">
        <v>91</v>
      </c>
    </row>
    <row r="24" ht="15.75" customHeight="1">
      <c r="C24" s="140" t="s">
        <v>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4"/>
    </row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3"/>
    </row>
    <row r="29" ht="15.75" customHeight="1">
      <c r="A29" s="144"/>
      <c r="BB29" s="145"/>
    </row>
    <row r="30" ht="15.75" customHeight="1">
      <c r="A30" s="144"/>
      <c r="BB30" s="145"/>
    </row>
    <row r="31" ht="15.75" customHeight="1">
      <c r="A31" s="144"/>
      <c r="BB31" s="145"/>
    </row>
    <row r="32" ht="15.75" customHeight="1">
      <c r="A32" s="144"/>
      <c r="BB32" s="145"/>
    </row>
    <row r="33" ht="15.75" customHeight="1">
      <c r="A33" s="144"/>
      <c r="BB33" s="145"/>
    </row>
    <row r="34" ht="15.75" customHeight="1">
      <c r="A34" s="144"/>
      <c r="BB34" s="145"/>
    </row>
    <row r="35" ht="15.75" customHeight="1">
      <c r="A35" s="144"/>
      <c r="BB35" s="145"/>
    </row>
    <row r="36" ht="15.75" customHeight="1">
      <c r="A36" s="144"/>
      <c r="BB36" s="145"/>
    </row>
    <row r="37" ht="15.75" customHeight="1">
      <c r="A37" s="144"/>
      <c r="BB37" s="145"/>
    </row>
    <row r="38" ht="15.75" customHeight="1">
      <c r="A38" s="144"/>
      <c r="BB38" s="145"/>
    </row>
    <row r="39" ht="15.75" customHeight="1">
      <c r="A39" s="144"/>
      <c r="BB39" s="145"/>
    </row>
    <row r="40" ht="15.75" customHeight="1">
      <c r="A40" s="144"/>
      <c r="BB40" s="145"/>
    </row>
    <row r="41" ht="15.75" customHeight="1">
      <c r="A41" s="144"/>
      <c r="BB41" s="145"/>
    </row>
    <row r="42" ht="15.75" customHeight="1">
      <c r="A42" s="144"/>
      <c r="BB42" s="145"/>
    </row>
    <row r="43" ht="15.75" customHeight="1">
      <c r="A43" s="144"/>
      <c r="BB43" s="145"/>
    </row>
    <row r="44" ht="15.75" customHeight="1">
      <c r="A44" s="144"/>
      <c r="BB44" s="145"/>
    </row>
    <row r="45" ht="15.75" customHeight="1">
      <c r="A45" s="144"/>
      <c r="BB45" s="145"/>
    </row>
    <row r="46" ht="15.75" customHeight="1">
      <c r="A46" s="144"/>
      <c r="BB46" s="145"/>
    </row>
    <row r="47" ht="15.75" customHeight="1">
      <c r="A47" s="144"/>
      <c r="BB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66">
    <mergeCell ref="E17:I17"/>
    <mergeCell ref="J17:O17"/>
    <mergeCell ref="Y17:AC17"/>
    <mergeCell ref="T19:X19"/>
    <mergeCell ref="Y19:AC19"/>
    <mergeCell ref="E18:I18"/>
    <mergeCell ref="J18:O18"/>
    <mergeCell ref="P18:S19"/>
    <mergeCell ref="T18:X18"/>
    <mergeCell ref="Y18:AC18"/>
    <mergeCell ref="E19:I19"/>
    <mergeCell ref="E21:I21"/>
    <mergeCell ref="J21:O21"/>
    <mergeCell ref="P21:R21"/>
    <mergeCell ref="T21:W21"/>
    <mergeCell ref="Y21:AB21"/>
    <mergeCell ref="T14:X14"/>
    <mergeCell ref="T15:X15"/>
    <mergeCell ref="Y15:AC15"/>
    <mergeCell ref="T16:X16"/>
    <mergeCell ref="Y16:AC16"/>
    <mergeCell ref="AN21:AQ21"/>
    <mergeCell ref="AS21:AV21"/>
    <mergeCell ref="AX21:BA21"/>
    <mergeCell ref="C24:BB24"/>
    <mergeCell ref="C25:BB25"/>
    <mergeCell ref="C26:BB26"/>
    <mergeCell ref="A28:BB48"/>
    <mergeCell ref="P14:S14"/>
    <mergeCell ref="P15:S16"/>
    <mergeCell ref="J19:O19"/>
    <mergeCell ref="E14:I14"/>
    <mergeCell ref="E15:I15"/>
    <mergeCell ref="J15:O15"/>
    <mergeCell ref="E16:I16"/>
    <mergeCell ref="J16:O16"/>
    <mergeCell ref="A23:B27"/>
    <mergeCell ref="AX11:BB11"/>
    <mergeCell ref="C9:BB10"/>
    <mergeCell ref="E11:I11"/>
    <mergeCell ref="J11:O11"/>
    <mergeCell ref="P11:S11"/>
    <mergeCell ref="T11:X11"/>
    <mergeCell ref="Y11:AC11"/>
    <mergeCell ref="AD11:AH11"/>
    <mergeCell ref="AD21:AG21"/>
    <mergeCell ref="AI21:AL21"/>
    <mergeCell ref="AI11:AM11"/>
    <mergeCell ref="AN11:AR11"/>
    <mergeCell ref="AS11:AW11"/>
    <mergeCell ref="A1:BB7"/>
    <mergeCell ref="J14:O14"/>
    <mergeCell ref="E12:I12"/>
    <mergeCell ref="J12:O12"/>
    <mergeCell ref="P12:S12"/>
    <mergeCell ref="T12:X12"/>
    <mergeCell ref="B9:B11"/>
    <mergeCell ref="E13:I13"/>
    <mergeCell ref="J13:O13"/>
    <mergeCell ref="P13:S13"/>
    <mergeCell ref="T13:X13"/>
    <mergeCell ref="Y13:AC13"/>
    <mergeCell ref="Y12:AC12"/>
    <mergeCell ref="Y14:AC14"/>
    <mergeCell ref="P17:S17"/>
    <mergeCell ref="T17:X1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5.57"/>
    <col customWidth="1" min="31" max="31" width="6.71"/>
    <col customWidth="1" min="32" max="33" width="6.14"/>
    <col customWidth="1" min="34" max="34" width="12.14"/>
    <col customWidth="1" min="35" max="35" width="6.71"/>
    <col customWidth="1" min="36" max="37" width="6.0"/>
    <col customWidth="1" min="38" max="38" width="6.43"/>
    <col customWidth="1" min="39" max="39" width="9.43"/>
    <col customWidth="1" min="40" max="40" width="6.0"/>
    <col customWidth="1" min="41" max="42" width="5.86"/>
    <col customWidth="1" min="43" max="43" width="6.14"/>
    <col customWidth="1" min="44" max="44" width="9.43"/>
    <col customWidth="1" min="45" max="46" width="6.71"/>
    <col customWidth="1" min="47" max="48" width="6.57"/>
    <col customWidth="1" min="49" max="49" width="9.43"/>
    <col customWidth="1" min="50" max="50" width="6.0"/>
    <col customWidth="1" min="51" max="51" width="5.86"/>
    <col customWidth="1" min="52" max="52" width="6.71"/>
    <col customWidth="1" min="53" max="53" width="7.0"/>
    <col customWidth="1" min="54" max="54" width="9.43"/>
  </cols>
  <sheetData>
    <row r="9">
      <c r="B9" s="53" t="s">
        <v>58</v>
      </c>
      <c r="C9" s="54" t="s">
        <v>99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67</v>
      </c>
      <c r="AE11" s="64"/>
      <c r="AF11" s="64"/>
      <c r="AG11" s="64"/>
      <c r="AH11" s="25"/>
      <c r="AI11" s="63" t="s">
        <v>68</v>
      </c>
      <c r="AJ11" s="64"/>
      <c r="AK11" s="64"/>
      <c r="AL11" s="64"/>
      <c r="AM11" s="25"/>
      <c r="AN11" s="63" t="s">
        <v>69</v>
      </c>
      <c r="AO11" s="64"/>
      <c r="AP11" s="64"/>
      <c r="AQ11" s="64"/>
      <c r="AR11" s="25"/>
      <c r="AS11" s="63" t="s">
        <v>70</v>
      </c>
      <c r="AT11" s="64"/>
      <c r="AU11" s="64"/>
      <c r="AV11" s="64"/>
      <c r="AW11" s="25"/>
      <c r="AX11" s="63" t="s">
        <v>71</v>
      </c>
      <c r="AY11" s="64"/>
      <c r="AZ11" s="64"/>
      <c r="BA11" s="64"/>
      <c r="BB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66">
        <v>1.0</v>
      </c>
      <c r="AE12" s="66">
        <v>2.0</v>
      </c>
      <c r="AF12" s="66">
        <v>3.0</v>
      </c>
      <c r="AG12" s="66">
        <v>4.0</v>
      </c>
      <c r="AH12" s="66" t="s">
        <v>76</v>
      </c>
      <c r="AI12" s="66">
        <v>1.0</v>
      </c>
      <c r="AJ12" s="66">
        <v>2.0</v>
      </c>
      <c r="AK12" s="66">
        <v>3.0</v>
      </c>
      <c r="AL12" s="66">
        <v>4.0</v>
      </c>
      <c r="AM12" s="66" t="s">
        <v>76</v>
      </c>
      <c r="AN12" s="66">
        <v>1.0</v>
      </c>
      <c r="AO12" s="66">
        <v>2.0</v>
      </c>
      <c r="AP12" s="66">
        <v>3.0</v>
      </c>
      <c r="AQ12" s="66">
        <v>4.0</v>
      </c>
      <c r="AR12" s="66" t="s">
        <v>76</v>
      </c>
      <c r="AS12" s="66">
        <v>1.0</v>
      </c>
      <c r="AT12" s="66">
        <v>2.0</v>
      </c>
      <c r="AU12" s="66">
        <v>3.0</v>
      </c>
      <c r="AV12" s="66">
        <v>4.0</v>
      </c>
      <c r="AW12" s="66" t="s">
        <v>76</v>
      </c>
      <c r="AX12" s="66">
        <v>1.0</v>
      </c>
      <c r="AY12" s="66">
        <v>2.0</v>
      </c>
      <c r="AZ12" s="66">
        <v>3.0</v>
      </c>
      <c r="BA12" s="66">
        <v>4.0</v>
      </c>
      <c r="BB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77"/>
      <c r="AE13" s="78">
        <v>10.0</v>
      </c>
      <c r="AF13" s="78">
        <v>24.8</v>
      </c>
      <c r="AG13" s="79">
        <v>23.6</v>
      </c>
      <c r="AH13" s="73" t="str">
        <f t="shared" ref="AH13:AH20" si="1">SUM(AD13:AG13)</f>
        <v>58.4</v>
      </c>
      <c r="AI13" s="77">
        <v>23.6</v>
      </c>
      <c r="AJ13" s="78"/>
      <c r="AK13" s="78"/>
      <c r="AL13" s="79"/>
      <c r="AM13" s="73" t="str">
        <f t="shared" ref="AM13:AM19" si="2">SUM(AI13:AL13)</f>
        <v>23.6</v>
      </c>
      <c r="AN13" s="77">
        <v>18.0</v>
      </c>
      <c r="AO13" s="78">
        <v>25.0</v>
      </c>
      <c r="AP13" s="78">
        <v>21.0</v>
      </c>
      <c r="AQ13" s="79">
        <v>27.6</v>
      </c>
      <c r="AR13" s="73" t="str">
        <f t="shared" ref="AR13:AR19" si="3">SUM(AN13:AQ13)</f>
        <v>91.6</v>
      </c>
      <c r="AS13" s="77"/>
      <c r="AT13" s="78"/>
      <c r="AU13" s="78"/>
      <c r="AV13" s="79"/>
      <c r="AW13" s="73" t="str">
        <f t="shared" ref="AW13:AW19" si="4">SUM(AS13:AV13)</f>
        <v>0</v>
      </c>
      <c r="AX13" s="77"/>
      <c r="AY13" s="78"/>
      <c r="AZ13" s="78"/>
      <c r="BA13" s="79"/>
      <c r="BB13" s="73" t="str">
        <f t="shared" ref="BB13:BB19" si="5">SUM(AX13:BA13)</f>
        <v>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89"/>
      <c r="AE14" s="90">
        <v>0.0</v>
      </c>
      <c r="AF14" s="90">
        <v>0.0</v>
      </c>
      <c r="AG14" s="91">
        <v>0.0</v>
      </c>
      <c r="AH14" s="85" t="str">
        <f t="shared" si="1"/>
        <v>0</v>
      </c>
      <c r="AI14" s="89">
        <v>0.0</v>
      </c>
      <c r="AJ14" s="90"/>
      <c r="AK14" s="90"/>
      <c r="AL14" s="91"/>
      <c r="AM14" s="85" t="str">
        <f t="shared" si="2"/>
        <v>0</v>
      </c>
      <c r="AN14" s="89"/>
      <c r="AO14" s="90"/>
      <c r="AP14" s="90"/>
      <c r="AQ14" s="91"/>
      <c r="AR14" s="85" t="str">
        <f t="shared" si="3"/>
        <v>0</v>
      </c>
      <c r="AS14" s="89"/>
      <c r="AT14" s="90"/>
      <c r="AU14" s="90"/>
      <c r="AV14" s="91"/>
      <c r="AW14" s="85" t="str">
        <f t="shared" si="4"/>
        <v>0</v>
      </c>
      <c r="AX14" s="89"/>
      <c r="AY14" s="90"/>
      <c r="AZ14" s="90"/>
      <c r="BA14" s="91"/>
      <c r="BB14" s="85" t="str">
        <f t="shared" si="5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01"/>
      <c r="AE15" s="102">
        <v>0.0</v>
      </c>
      <c r="AF15" s="102">
        <v>32.0</v>
      </c>
      <c r="AG15" s="103">
        <v>39.2</v>
      </c>
      <c r="AH15" s="97" t="str">
        <f t="shared" si="1"/>
        <v>71.2</v>
      </c>
      <c r="AI15" s="101">
        <v>17.2</v>
      </c>
      <c r="AJ15" s="102"/>
      <c r="AK15" s="102"/>
      <c r="AL15" s="103"/>
      <c r="AM15" s="97" t="str">
        <f t="shared" si="2"/>
        <v>17.2</v>
      </c>
      <c r="AN15" s="101">
        <v>23.0</v>
      </c>
      <c r="AO15" s="102">
        <v>26.0</v>
      </c>
      <c r="AP15" s="102">
        <v>27.0</v>
      </c>
      <c r="AQ15" s="103">
        <v>43.2</v>
      </c>
      <c r="AR15" s="97" t="str">
        <f t="shared" si="3"/>
        <v>119.2</v>
      </c>
      <c r="AS15" s="101"/>
      <c r="AT15" s="102"/>
      <c r="AU15" s="102"/>
      <c r="AV15" s="103"/>
      <c r="AW15" s="97" t="str">
        <f t="shared" si="4"/>
        <v>0</v>
      </c>
      <c r="AX15" s="101"/>
      <c r="AY15" s="102"/>
      <c r="AZ15" s="102"/>
      <c r="BA15" s="103"/>
      <c r="BB15" s="97" t="str">
        <f t="shared" si="5"/>
        <v>0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01"/>
      <c r="AE16" s="102">
        <v>0.0</v>
      </c>
      <c r="AF16" s="102">
        <v>7.0</v>
      </c>
      <c r="AG16" s="103">
        <v>0.0</v>
      </c>
      <c r="AH16" s="97" t="str">
        <f t="shared" si="1"/>
        <v>7</v>
      </c>
      <c r="AI16" s="101">
        <v>0.0</v>
      </c>
      <c r="AJ16" s="102"/>
      <c r="AK16" s="102"/>
      <c r="AL16" s="103"/>
      <c r="AM16" s="97" t="str">
        <f t="shared" si="2"/>
        <v>0</v>
      </c>
      <c r="AN16" s="101">
        <v>1.0</v>
      </c>
      <c r="AO16" s="102">
        <v>1.5</v>
      </c>
      <c r="AP16" s="102">
        <v>1.0</v>
      </c>
      <c r="AQ16" s="103">
        <v>1.6</v>
      </c>
      <c r="AR16" s="97" t="str">
        <f t="shared" si="3"/>
        <v>5.1</v>
      </c>
      <c r="AS16" s="101"/>
      <c r="AT16" s="102"/>
      <c r="AU16" s="102"/>
      <c r="AV16" s="103"/>
      <c r="AW16" s="97" t="str">
        <f t="shared" si="4"/>
        <v>0</v>
      </c>
      <c r="AX16" s="101"/>
      <c r="AY16" s="102"/>
      <c r="AZ16" s="102"/>
      <c r="BA16" s="103"/>
      <c r="BB16" s="97" t="str">
        <f t="shared" si="5"/>
        <v>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13"/>
      <c r="AE17" s="114">
        <v>0.0</v>
      </c>
      <c r="AF17" s="114">
        <v>0.0</v>
      </c>
      <c r="AG17" s="115">
        <v>0.0</v>
      </c>
      <c r="AH17" s="109" t="str">
        <f t="shared" si="1"/>
        <v>0</v>
      </c>
      <c r="AI17" s="113"/>
      <c r="AJ17" s="114"/>
      <c r="AK17" s="114"/>
      <c r="AL17" s="115"/>
      <c r="AM17" s="109" t="str">
        <f t="shared" si="2"/>
        <v>0</v>
      </c>
      <c r="AN17" s="113"/>
      <c r="AO17" s="114"/>
      <c r="AP17" s="114"/>
      <c r="AQ17" s="115"/>
      <c r="AR17" s="109" t="str">
        <f t="shared" si="3"/>
        <v>0</v>
      </c>
      <c r="AS17" s="113"/>
      <c r="AT17" s="114"/>
      <c r="AU17" s="114"/>
      <c r="AV17" s="115"/>
      <c r="AW17" s="109" t="str">
        <f t="shared" si="4"/>
        <v>0</v>
      </c>
      <c r="AX17" s="113"/>
      <c r="AY17" s="114"/>
      <c r="AZ17" s="114"/>
      <c r="BA17" s="115"/>
      <c r="BB17" s="109" t="str">
        <f t="shared" si="5"/>
        <v>0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13"/>
      <c r="AE18" s="114"/>
      <c r="AF18" s="114"/>
      <c r="AG18" s="115"/>
      <c r="AH18" s="163" t="str">
        <f t="shared" si="1"/>
        <v>0</v>
      </c>
      <c r="AI18" s="113"/>
      <c r="AJ18" s="114"/>
      <c r="AK18" s="114"/>
      <c r="AL18" s="115"/>
      <c r="AM18" s="163" t="str">
        <f t="shared" si="2"/>
        <v>0</v>
      </c>
      <c r="AN18" s="113"/>
      <c r="AO18" s="114"/>
      <c r="AP18" s="114"/>
      <c r="AQ18" s="115"/>
      <c r="AR18" s="163" t="str">
        <f t="shared" si="3"/>
        <v>0</v>
      </c>
      <c r="AS18" s="113"/>
      <c r="AT18" s="114"/>
      <c r="AU18" s="114"/>
      <c r="AV18" s="115"/>
      <c r="AW18" s="109" t="str">
        <f t="shared" si="4"/>
        <v>0</v>
      </c>
      <c r="AX18" s="113"/>
      <c r="AY18" s="114"/>
      <c r="AZ18" s="114"/>
      <c r="BA18" s="115"/>
      <c r="BB18" s="109" t="str">
        <f t="shared" si="5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7"/>
      <c r="AE19" s="167"/>
      <c r="AF19" s="167"/>
      <c r="AG19" s="167"/>
      <c r="AH19" s="167" t="str">
        <f t="shared" si="1"/>
        <v>0</v>
      </c>
      <c r="AI19" s="167"/>
      <c r="AJ19" s="167"/>
      <c r="AK19" s="167"/>
      <c r="AL19" s="167"/>
      <c r="AM19" s="168" t="str">
        <f t="shared" si="2"/>
        <v>0</v>
      </c>
      <c r="AN19" s="167"/>
      <c r="AO19" s="167"/>
      <c r="AP19" s="167"/>
      <c r="AQ19" s="167"/>
      <c r="AR19" s="168" t="str">
        <f t="shared" si="3"/>
        <v>0</v>
      </c>
      <c r="AS19" s="127"/>
      <c r="AT19" s="128"/>
      <c r="AU19" s="128"/>
      <c r="AV19" s="129"/>
      <c r="AW19" s="125" t="str">
        <f t="shared" si="4"/>
        <v>0</v>
      </c>
      <c r="AX19" s="127"/>
      <c r="AY19" s="128"/>
      <c r="AZ19" s="128"/>
      <c r="BA19" s="129"/>
      <c r="BB19" s="125" t="str">
        <f t="shared" si="5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67"/>
      <c r="AE20" s="167">
        <v>0.0</v>
      </c>
      <c r="AF20" s="167">
        <v>0.0</v>
      </c>
      <c r="AG20" s="167">
        <v>0.0</v>
      </c>
      <c r="AH20" s="167" t="str">
        <f t="shared" si="1"/>
        <v>0</v>
      </c>
      <c r="AI20" s="167">
        <v>0.0</v>
      </c>
      <c r="AJ20" s="167"/>
      <c r="AK20" s="167"/>
      <c r="AL20" s="167"/>
      <c r="AM20" s="168"/>
      <c r="AN20" s="167"/>
      <c r="AO20" s="167"/>
      <c r="AP20" s="167"/>
      <c r="AQ20" s="167"/>
      <c r="AR20" s="168"/>
      <c r="AS20" s="172"/>
      <c r="AT20" s="172"/>
      <c r="AU20" s="172"/>
      <c r="AV20" s="172"/>
      <c r="AW20" s="170"/>
      <c r="AX20" s="172"/>
      <c r="AY20" s="172"/>
      <c r="AZ20" s="172"/>
      <c r="BA20" s="172"/>
      <c r="BB20" s="170"/>
    </row>
    <row r="21" ht="15.75" customHeight="1">
      <c r="B21" s="130" t="s">
        <v>90</v>
      </c>
      <c r="C21" s="131" t="str">
        <f t="shared" ref="C21:D21" si="6">SUM(C13:C19)</f>
        <v>0</v>
      </c>
      <c r="D21" s="132" t="str">
        <f t="shared" si="6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74"/>
      <c r="AE21" s="175"/>
      <c r="AF21" s="175"/>
      <c r="AG21" s="176"/>
      <c r="AH21" s="132" t="str">
        <f>SUM(AH13:AH20)</f>
        <v>136.6</v>
      </c>
      <c r="AI21" s="174"/>
      <c r="AJ21" s="175"/>
      <c r="AK21" s="175"/>
      <c r="AL21" s="176"/>
      <c r="AM21" s="132" t="str">
        <f>SUM(AM13:AM19)</f>
        <v>40.8</v>
      </c>
      <c r="AN21" s="174"/>
      <c r="AO21" s="175"/>
      <c r="AP21" s="175"/>
      <c r="AQ21" s="176"/>
      <c r="AR21" s="132" t="str">
        <f>SUM(AR13:AR19)</f>
        <v>215.9</v>
      </c>
      <c r="AS21" s="133"/>
      <c r="AT21" s="134"/>
      <c r="AU21" s="134"/>
      <c r="AV21" s="135"/>
      <c r="AW21" s="136" t="str">
        <f>SUM(AW13:AW19)</f>
        <v>0</v>
      </c>
      <c r="AX21" s="133"/>
      <c r="AY21" s="134"/>
      <c r="AZ21" s="134"/>
      <c r="BA21" s="135"/>
      <c r="BB21" s="136" t="str">
        <f>SUM(BB13:BB19)</f>
        <v>0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</row>
    <row r="23" ht="15.75" customHeight="1">
      <c r="C23" s="139" t="s">
        <v>91</v>
      </c>
    </row>
    <row r="24" ht="15.75" customHeight="1">
      <c r="C24" s="140" t="s">
        <v>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4"/>
    </row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3"/>
    </row>
    <row r="29" ht="15.75" customHeight="1">
      <c r="A29" s="144"/>
      <c r="BB29" s="145"/>
    </row>
    <row r="30" ht="15.75" customHeight="1">
      <c r="A30" s="144"/>
      <c r="BB30" s="145"/>
    </row>
    <row r="31" ht="15.75" customHeight="1">
      <c r="A31" s="144"/>
      <c r="BB31" s="145"/>
    </row>
    <row r="32" ht="15.75" customHeight="1">
      <c r="A32" s="144"/>
      <c r="BB32" s="145"/>
    </row>
    <row r="33" ht="15.75" customHeight="1">
      <c r="A33" s="144"/>
      <c r="BB33" s="145"/>
    </row>
    <row r="34" ht="15.75" customHeight="1">
      <c r="A34" s="144"/>
      <c r="BB34" s="145"/>
    </row>
    <row r="35" ht="15.75" customHeight="1">
      <c r="A35" s="144"/>
      <c r="BB35" s="145"/>
    </row>
    <row r="36" ht="15.75" customHeight="1">
      <c r="A36" s="144"/>
      <c r="BB36" s="145"/>
    </row>
    <row r="37" ht="15.75" customHeight="1">
      <c r="A37" s="144"/>
      <c r="BB37" s="145"/>
    </row>
    <row r="38" ht="15.75" customHeight="1">
      <c r="A38" s="144"/>
      <c r="BB38" s="145"/>
    </row>
    <row r="39" ht="15.75" customHeight="1">
      <c r="A39" s="144"/>
      <c r="BB39" s="145"/>
    </row>
    <row r="40" ht="15.75" customHeight="1">
      <c r="A40" s="144"/>
      <c r="BB40" s="145"/>
    </row>
    <row r="41" ht="15.75" customHeight="1">
      <c r="A41" s="144"/>
      <c r="BB41" s="145"/>
    </row>
    <row r="42" ht="15.75" customHeight="1">
      <c r="A42" s="144"/>
      <c r="BB42" s="145"/>
    </row>
    <row r="43" ht="15.75" customHeight="1">
      <c r="A43" s="144"/>
      <c r="BB43" s="145"/>
    </row>
    <row r="44" ht="15.75" customHeight="1">
      <c r="A44" s="144"/>
      <c r="BB44" s="145"/>
    </row>
    <row r="45" ht="15.75" customHeight="1">
      <c r="A45" s="144"/>
      <c r="BB45" s="145"/>
    </row>
    <row r="46" ht="15.75" customHeight="1">
      <c r="A46" s="144"/>
      <c r="BB46" s="145"/>
    </row>
    <row r="47" ht="15.75" customHeight="1">
      <c r="A47" s="144"/>
      <c r="BB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66">
    <mergeCell ref="E17:I17"/>
    <mergeCell ref="J17:O17"/>
    <mergeCell ref="Y17:AC17"/>
    <mergeCell ref="T19:X19"/>
    <mergeCell ref="Y19:AC19"/>
    <mergeCell ref="E18:I18"/>
    <mergeCell ref="J18:O18"/>
    <mergeCell ref="P18:S19"/>
    <mergeCell ref="T18:X18"/>
    <mergeCell ref="Y18:AC18"/>
    <mergeCell ref="E19:I19"/>
    <mergeCell ref="E21:I21"/>
    <mergeCell ref="J21:O21"/>
    <mergeCell ref="P21:R21"/>
    <mergeCell ref="T21:W21"/>
    <mergeCell ref="Y21:AB21"/>
    <mergeCell ref="T14:X14"/>
    <mergeCell ref="T15:X15"/>
    <mergeCell ref="Y15:AC15"/>
    <mergeCell ref="T16:X16"/>
    <mergeCell ref="Y16:AC16"/>
    <mergeCell ref="AN21:AQ21"/>
    <mergeCell ref="AS21:AV21"/>
    <mergeCell ref="AX21:BA21"/>
    <mergeCell ref="C24:BB24"/>
    <mergeCell ref="C25:BB25"/>
    <mergeCell ref="C26:BB26"/>
    <mergeCell ref="A28:BB48"/>
    <mergeCell ref="P14:S14"/>
    <mergeCell ref="P15:S16"/>
    <mergeCell ref="J19:O19"/>
    <mergeCell ref="E14:I14"/>
    <mergeCell ref="E15:I15"/>
    <mergeCell ref="J15:O15"/>
    <mergeCell ref="E16:I16"/>
    <mergeCell ref="J16:O16"/>
    <mergeCell ref="A23:B27"/>
    <mergeCell ref="AX11:BB11"/>
    <mergeCell ref="C9:BB10"/>
    <mergeCell ref="E11:I11"/>
    <mergeCell ref="J11:O11"/>
    <mergeCell ref="P11:S11"/>
    <mergeCell ref="T11:X11"/>
    <mergeCell ref="Y11:AC11"/>
    <mergeCell ref="AD11:AH11"/>
    <mergeCell ref="AD21:AG21"/>
    <mergeCell ref="AI21:AL21"/>
    <mergeCell ref="AI11:AM11"/>
    <mergeCell ref="AN11:AR11"/>
    <mergeCell ref="AS11:AW11"/>
    <mergeCell ref="A1:BB7"/>
    <mergeCell ref="J14:O14"/>
    <mergeCell ref="E12:I12"/>
    <mergeCell ref="J12:O12"/>
    <mergeCell ref="P12:S12"/>
    <mergeCell ref="T12:X12"/>
    <mergeCell ref="B9:B11"/>
    <mergeCell ref="E13:I13"/>
    <mergeCell ref="J13:O13"/>
    <mergeCell ref="P13:S13"/>
    <mergeCell ref="T13:X13"/>
    <mergeCell ref="Y13:AC13"/>
    <mergeCell ref="Y12:AC12"/>
    <mergeCell ref="Y14:AC14"/>
    <mergeCell ref="P17:S17"/>
    <mergeCell ref="T17:X17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5.57"/>
    <col customWidth="1" min="31" max="31" width="6.71"/>
    <col customWidth="1" min="32" max="33" width="6.14"/>
    <col customWidth="1" min="34" max="34" width="12.14"/>
    <col customWidth="1" min="35" max="35" width="6.71"/>
    <col customWidth="1" min="36" max="37" width="6.0"/>
    <col customWidth="1" min="38" max="38" width="6.43"/>
    <col customWidth="1" min="39" max="39" width="9.43"/>
    <col customWidth="1" min="40" max="40" width="6.0"/>
    <col customWidth="1" min="41" max="42" width="5.86"/>
    <col customWidth="1" min="43" max="43" width="6.14"/>
    <col customWidth="1" min="44" max="44" width="9.43"/>
    <col customWidth="1" min="45" max="46" width="6.71"/>
    <col customWidth="1" min="47" max="48" width="6.57"/>
    <col customWidth="1" min="49" max="49" width="9.43"/>
    <col customWidth="1" min="50" max="50" width="6.0"/>
    <col customWidth="1" min="51" max="51" width="5.86"/>
    <col customWidth="1" min="52" max="52" width="6.71"/>
    <col customWidth="1" min="53" max="53" width="7.0"/>
    <col customWidth="1" min="54" max="54" width="9.43"/>
  </cols>
  <sheetData>
    <row r="9">
      <c r="B9" s="53" t="s">
        <v>58</v>
      </c>
      <c r="C9" s="54" t="s">
        <v>100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67</v>
      </c>
      <c r="AE11" s="64"/>
      <c r="AF11" s="64"/>
      <c r="AG11" s="64"/>
      <c r="AH11" s="25"/>
      <c r="AI11" s="63" t="s">
        <v>68</v>
      </c>
      <c r="AJ11" s="64"/>
      <c r="AK11" s="64"/>
      <c r="AL11" s="64"/>
      <c r="AM11" s="25"/>
      <c r="AN11" s="63" t="s">
        <v>69</v>
      </c>
      <c r="AO11" s="64"/>
      <c r="AP11" s="64"/>
      <c r="AQ11" s="64"/>
      <c r="AR11" s="25"/>
      <c r="AS11" s="63" t="s">
        <v>70</v>
      </c>
      <c r="AT11" s="64"/>
      <c r="AU11" s="64"/>
      <c r="AV11" s="64"/>
      <c r="AW11" s="25"/>
      <c r="AX11" s="63" t="s">
        <v>71</v>
      </c>
      <c r="AY11" s="64"/>
      <c r="AZ11" s="64"/>
      <c r="BA11" s="64"/>
      <c r="BB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66">
        <v>1.0</v>
      </c>
      <c r="AE12" s="66">
        <v>2.0</v>
      </c>
      <c r="AF12" s="66">
        <v>3.0</v>
      </c>
      <c r="AG12" s="66">
        <v>4.0</v>
      </c>
      <c r="AH12" s="66" t="s">
        <v>76</v>
      </c>
      <c r="AI12" s="66">
        <v>1.0</v>
      </c>
      <c r="AJ12" s="66">
        <v>2.0</v>
      </c>
      <c r="AK12" s="66">
        <v>3.0</v>
      </c>
      <c r="AL12" s="66">
        <v>4.0</v>
      </c>
      <c r="AM12" s="66" t="s">
        <v>76</v>
      </c>
      <c r="AN12" s="66">
        <v>1.0</v>
      </c>
      <c r="AO12" s="66">
        <v>2.0</v>
      </c>
      <c r="AP12" s="66">
        <v>3.0</v>
      </c>
      <c r="AQ12" s="66">
        <v>4.0</v>
      </c>
      <c r="AR12" s="66" t="s">
        <v>76</v>
      </c>
      <c r="AS12" s="66">
        <v>1.0</v>
      </c>
      <c r="AT12" s="66">
        <v>2.0</v>
      </c>
      <c r="AU12" s="66">
        <v>3.0</v>
      </c>
      <c r="AV12" s="66">
        <v>4.0</v>
      </c>
      <c r="AW12" s="66" t="s">
        <v>76</v>
      </c>
      <c r="AX12" s="66">
        <v>1.0</v>
      </c>
      <c r="AY12" s="66">
        <v>2.0</v>
      </c>
      <c r="AZ12" s="66">
        <v>3.0</v>
      </c>
      <c r="BA12" s="66">
        <v>4.0</v>
      </c>
      <c r="BB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77"/>
      <c r="AE13" s="78"/>
      <c r="AF13" s="78"/>
      <c r="AG13" s="79"/>
      <c r="AH13" s="73" t="str">
        <f t="shared" ref="AH13:AH20" si="1">SUM(AD13:AG13)</f>
        <v>0</v>
      </c>
      <c r="AI13" s="77"/>
      <c r="AJ13" s="78"/>
      <c r="AK13" s="78"/>
      <c r="AL13" s="79"/>
      <c r="AM13" s="73" t="str">
        <f t="shared" ref="AM13:AM19" si="2">SUM(AI13:AL13)</f>
        <v>0</v>
      </c>
      <c r="AN13" s="77" t="s">
        <v>101</v>
      </c>
      <c r="AO13" s="78"/>
      <c r="AP13" s="78"/>
      <c r="AQ13" s="79"/>
      <c r="AR13" s="73" t="str">
        <f t="shared" ref="AR13:AR19" si="3">SUM(AN13:AQ13)</f>
        <v>0</v>
      </c>
      <c r="AS13" s="77"/>
      <c r="AT13" s="78"/>
      <c r="AU13" s="78"/>
      <c r="AV13" s="79"/>
      <c r="AW13" s="73" t="str">
        <f t="shared" ref="AW13:AW19" si="4">SUM(AS13:AV13)</f>
        <v>0</v>
      </c>
      <c r="AX13" s="77"/>
      <c r="AY13" s="78"/>
      <c r="AZ13" s="78"/>
      <c r="BA13" s="79"/>
      <c r="BB13" s="73" t="str">
        <f t="shared" ref="BB13:BB19" si="5">SUM(AX13:BA13)</f>
        <v>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89"/>
      <c r="AE14" s="90"/>
      <c r="AF14" s="90"/>
      <c r="AG14" s="91"/>
      <c r="AH14" s="85" t="str">
        <f t="shared" si="1"/>
        <v>0</v>
      </c>
      <c r="AI14" s="89"/>
      <c r="AJ14" s="90"/>
      <c r="AK14" s="90"/>
      <c r="AL14" s="91"/>
      <c r="AM14" s="85" t="str">
        <f t="shared" si="2"/>
        <v>0</v>
      </c>
      <c r="AN14" s="89"/>
      <c r="AO14" s="90"/>
      <c r="AP14" s="90"/>
      <c r="AQ14" s="91"/>
      <c r="AR14" s="85" t="str">
        <f t="shared" si="3"/>
        <v>0</v>
      </c>
      <c r="AS14" s="89"/>
      <c r="AT14" s="90"/>
      <c r="AU14" s="90"/>
      <c r="AV14" s="91"/>
      <c r="AW14" s="85" t="str">
        <f t="shared" si="4"/>
        <v>0</v>
      </c>
      <c r="AX14" s="89"/>
      <c r="AY14" s="90"/>
      <c r="AZ14" s="90"/>
      <c r="BA14" s="91"/>
      <c r="BB14" s="85" t="str">
        <f t="shared" si="5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01"/>
      <c r="AE15" s="102"/>
      <c r="AF15" s="102"/>
      <c r="AG15" s="103"/>
      <c r="AH15" s="97" t="str">
        <f t="shared" si="1"/>
        <v>0</v>
      </c>
      <c r="AI15" s="101"/>
      <c r="AJ15" s="102"/>
      <c r="AK15" s="102"/>
      <c r="AL15" s="103"/>
      <c r="AM15" s="97" t="str">
        <f t="shared" si="2"/>
        <v>0</v>
      </c>
      <c r="AN15" s="101"/>
      <c r="AO15" s="102"/>
      <c r="AP15" s="102"/>
      <c r="AQ15" s="103"/>
      <c r="AR15" s="97" t="str">
        <f t="shared" si="3"/>
        <v>0</v>
      </c>
      <c r="AS15" s="101"/>
      <c r="AT15" s="102"/>
      <c r="AU15" s="102"/>
      <c r="AV15" s="103"/>
      <c r="AW15" s="97" t="str">
        <f t="shared" si="4"/>
        <v>0</v>
      </c>
      <c r="AX15" s="101"/>
      <c r="AY15" s="102"/>
      <c r="AZ15" s="102"/>
      <c r="BA15" s="103"/>
      <c r="BB15" s="97" t="str">
        <f t="shared" si="5"/>
        <v>0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01"/>
      <c r="AE16" s="102"/>
      <c r="AF16" s="102"/>
      <c r="AG16" s="103"/>
      <c r="AH16" s="97" t="str">
        <f t="shared" si="1"/>
        <v>0</v>
      </c>
      <c r="AI16" s="101"/>
      <c r="AJ16" s="102"/>
      <c r="AK16" s="102"/>
      <c r="AL16" s="103"/>
      <c r="AM16" s="97" t="str">
        <f t="shared" si="2"/>
        <v>0</v>
      </c>
      <c r="AN16" s="101"/>
      <c r="AO16" s="102"/>
      <c r="AP16" s="102"/>
      <c r="AQ16" s="103"/>
      <c r="AR16" s="97" t="str">
        <f t="shared" si="3"/>
        <v>0</v>
      </c>
      <c r="AS16" s="101"/>
      <c r="AT16" s="102"/>
      <c r="AU16" s="102"/>
      <c r="AV16" s="103"/>
      <c r="AW16" s="97" t="str">
        <f t="shared" si="4"/>
        <v>0</v>
      </c>
      <c r="AX16" s="101"/>
      <c r="AY16" s="102"/>
      <c r="AZ16" s="102"/>
      <c r="BA16" s="103"/>
      <c r="BB16" s="97" t="str">
        <f t="shared" si="5"/>
        <v>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13"/>
      <c r="AE17" s="114"/>
      <c r="AF17" s="114"/>
      <c r="AG17" s="115"/>
      <c r="AH17" s="109" t="str">
        <f t="shared" si="1"/>
        <v>0</v>
      </c>
      <c r="AI17" s="113"/>
      <c r="AJ17" s="114"/>
      <c r="AK17" s="114"/>
      <c r="AL17" s="115"/>
      <c r="AM17" s="109" t="str">
        <f t="shared" si="2"/>
        <v>0</v>
      </c>
      <c r="AN17" s="113"/>
      <c r="AO17" s="114"/>
      <c r="AP17" s="114"/>
      <c r="AQ17" s="115"/>
      <c r="AR17" s="109" t="str">
        <f t="shared" si="3"/>
        <v>0</v>
      </c>
      <c r="AS17" s="113"/>
      <c r="AT17" s="114"/>
      <c r="AU17" s="114"/>
      <c r="AV17" s="115"/>
      <c r="AW17" s="109" t="str">
        <f t="shared" si="4"/>
        <v>0</v>
      </c>
      <c r="AX17" s="113"/>
      <c r="AY17" s="114"/>
      <c r="AZ17" s="114"/>
      <c r="BA17" s="115"/>
      <c r="BB17" s="109" t="str">
        <f t="shared" si="5"/>
        <v>0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13"/>
      <c r="AE18" s="114"/>
      <c r="AF18" s="114"/>
      <c r="AG18" s="115"/>
      <c r="AH18" s="163" t="str">
        <f t="shared" si="1"/>
        <v>0</v>
      </c>
      <c r="AI18" s="113"/>
      <c r="AJ18" s="114"/>
      <c r="AK18" s="114"/>
      <c r="AL18" s="115"/>
      <c r="AM18" s="163" t="str">
        <f t="shared" si="2"/>
        <v>0</v>
      </c>
      <c r="AN18" s="113"/>
      <c r="AO18" s="114"/>
      <c r="AP18" s="114"/>
      <c r="AQ18" s="115"/>
      <c r="AR18" s="163" t="str">
        <f t="shared" si="3"/>
        <v>0</v>
      </c>
      <c r="AS18" s="113"/>
      <c r="AT18" s="114"/>
      <c r="AU18" s="114"/>
      <c r="AV18" s="115"/>
      <c r="AW18" s="109" t="str">
        <f t="shared" si="4"/>
        <v>0</v>
      </c>
      <c r="AX18" s="113"/>
      <c r="AY18" s="114"/>
      <c r="AZ18" s="114"/>
      <c r="BA18" s="115"/>
      <c r="BB18" s="109" t="str">
        <f t="shared" si="5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7"/>
      <c r="AE19" s="167"/>
      <c r="AF19" s="167"/>
      <c r="AG19" s="167"/>
      <c r="AH19" s="167" t="str">
        <f t="shared" si="1"/>
        <v>0</v>
      </c>
      <c r="AI19" s="167"/>
      <c r="AJ19" s="167"/>
      <c r="AK19" s="167"/>
      <c r="AL19" s="167"/>
      <c r="AM19" s="168" t="str">
        <f t="shared" si="2"/>
        <v>0</v>
      </c>
      <c r="AN19" s="167"/>
      <c r="AO19" s="167"/>
      <c r="AP19" s="167"/>
      <c r="AQ19" s="167"/>
      <c r="AR19" s="168" t="str">
        <f t="shared" si="3"/>
        <v>0</v>
      </c>
      <c r="AS19" s="127"/>
      <c r="AT19" s="128"/>
      <c r="AU19" s="128"/>
      <c r="AV19" s="129"/>
      <c r="AW19" s="125" t="str">
        <f t="shared" si="4"/>
        <v>0</v>
      </c>
      <c r="AX19" s="127"/>
      <c r="AY19" s="128"/>
      <c r="AZ19" s="128"/>
      <c r="BA19" s="129"/>
      <c r="BB19" s="125" t="str">
        <f t="shared" si="5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67"/>
      <c r="AE20" s="167"/>
      <c r="AF20" s="167"/>
      <c r="AG20" s="167"/>
      <c r="AH20" s="167" t="str">
        <f t="shared" si="1"/>
        <v>0</v>
      </c>
      <c r="AI20" s="167"/>
      <c r="AJ20" s="167"/>
      <c r="AK20" s="167"/>
      <c r="AL20" s="167"/>
      <c r="AM20" s="168"/>
      <c r="AN20" s="167"/>
      <c r="AO20" s="167"/>
      <c r="AP20" s="167"/>
      <c r="AQ20" s="167"/>
      <c r="AR20" s="168"/>
      <c r="AS20" s="172"/>
      <c r="AT20" s="172"/>
      <c r="AU20" s="172"/>
      <c r="AV20" s="172"/>
      <c r="AW20" s="170"/>
      <c r="AX20" s="172"/>
      <c r="AY20" s="172"/>
      <c r="AZ20" s="172"/>
      <c r="BA20" s="172"/>
      <c r="BB20" s="170"/>
    </row>
    <row r="21" ht="15.75" customHeight="1">
      <c r="B21" s="130" t="s">
        <v>90</v>
      </c>
      <c r="C21" s="131" t="str">
        <f t="shared" ref="C21:D21" si="6">SUM(C13:C19)</f>
        <v>0</v>
      </c>
      <c r="D21" s="132" t="str">
        <f t="shared" si="6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74"/>
      <c r="AE21" s="175"/>
      <c r="AF21" s="175"/>
      <c r="AG21" s="176"/>
      <c r="AH21" s="132" t="str">
        <f>SUM(AH13:AH20)</f>
        <v>0</v>
      </c>
      <c r="AI21" s="174"/>
      <c r="AJ21" s="175"/>
      <c r="AK21" s="175"/>
      <c r="AL21" s="176"/>
      <c r="AM21" s="132" t="str">
        <f>SUM(AM13:AM19)</f>
        <v>0</v>
      </c>
      <c r="AN21" s="174"/>
      <c r="AO21" s="175"/>
      <c r="AP21" s="175"/>
      <c r="AQ21" s="176"/>
      <c r="AR21" s="132" t="str">
        <f>SUM(AR13:AR19)</f>
        <v>0</v>
      </c>
      <c r="AS21" s="133"/>
      <c r="AT21" s="134"/>
      <c r="AU21" s="134"/>
      <c r="AV21" s="135"/>
      <c r="AW21" s="136" t="str">
        <f>SUM(AW13:AW19)</f>
        <v>0</v>
      </c>
      <c r="AX21" s="133"/>
      <c r="AY21" s="134"/>
      <c r="AZ21" s="134"/>
      <c r="BA21" s="135"/>
      <c r="BB21" s="136" t="str">
        <f>SUM(BB13:BB19)</f>
        <v>0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</row>
    <row r="23" ht="15.75" customHeight="1">
      <c r="C23" s="139" t="s">
        <v>91</v>
      </c>
    </row>
    <row r="24" ht="15.75" customHeight="1">
      <c r="C24" s="140" t="s">
        <v>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4"/>
    </row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3"/>
    </row>
    <row r="29" ht="15.75" customHeight="1">
      <c r="A29" s="144"/>
      <c r="BB29" s="145"/>
    </row>
    <row r="30" ht="15.75" customHeight="1">
      <c r="A30" s="144"/>
      <c r="BB30" s="145"/>
    </row>
    <row r="31" ht="15.75" customHeight="1">
      <c r="A31" s="144"/>
      <c r="BB31" s="145"/>
    </row>
    <row r="32" ht="15.75" customHeight="1">
      <c r="A32" s="144"/>
      <c r="BB32" s="145"/>
    </row>
    <row r="33" ht="15.75" customHeight="1">
      <c r="A33" s="144"/>
      <c r="BB33" s="145"/>
    </row>
    <row r="34" ht="15.75" customHeight="1">
      <c r="A34" s="144"/>
      <c r="BB34" s="145"/>
    </row>
    <row r="35" ht="15.75" customHeight="1">
      <c r="A35" s="144"/>
      <c r="BB35" s="145"/>
    </row>
    <row r="36" ht="15.75" customHeight="1">
      <c r="A36" s="144"/>
      <c r="BB36" s="145"/>
    </row>
    <row r="37" ht="15.75" customHeight="1">
      <c r="A37" s="144"/>
      <c r="BB37" s="145"/>
    </row>
    <row r="38" ht="15.75" customHeight="1">
      <c r="A38" s="144"/>
      <c r="BB38" s="145"/>
    </row>
    <row r="39" ht="15.75" customHeight="1">
      <c r="A39" s="144"/>
      <c r="BB39" s="145"/>
    </row>
    <row r="40" ht="15.75" customHeight="1">
      <c r="A40" s="144"/>
      <c r="BB40" s="145"/>
    </row>
    <row r="41" ht="15.75" customHeight="1">
      <c r="A41" s="144"/>
      <c r="BB41" s="145"/>
    </row>
    <row r="42" ht="15.75" customHeight="1">
      <c r="A42" s="144"/>
      <c r="BB42" s="145"/>
    </row>
    <row r="43" ht="15.75" customHeight="1">
      <c r="A43" s="144"/>
      <c r="BB43" s="145"/>
    </row>
    <row r="44" ht="15.75" customHeight="1">
      <c r="A44" s="144"/>
      <c r="BB44" s="145"/>
    </row>
    <row r="45" ht="15.75" customHeight="1">
      <c r="A45" s="144"/>
      <c r="BB45" s="145"/>
    </row>
    <row r="46" ht="15.75" customHeight="1">
      <c r="A46" s="144"/>
      <c r="BB46" s="145"/>
    </row>
    <row r="47" ht="15.75" customHeight="1">
      <c r="A47" s="144"/>
      <c r="BB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66">
    <mergeCell ref="E17:I17"/>
    <mergeCell ref="J17:O17"/>
    <mergeCell ref="Y17:AC17"/>
    <mergeCell ref="T19:X19"/>
    <mergeCell ref="Y19:AC19"/>
    <mergeCell ref="E18:I18"/>
    <mergeCell ref="J18:O18"/>
    <mergeCell ref="P18:S19"/>
    <mergeCell ref="T18:X18"/>
    <mergeCell ref="Y18:AC18"/>
    <mergeCell ref="E19:I19"/>
    <mergeCell ref="E21:I21"/>
    <mergeCell ref="J21:O21"/>
    <mergeCell ref="P21:R21"/>
    <mergeCell ref="T21:W21"/>
    <mergeCell ref="Y21:AB21"/>
    <mergeCell ref="T14:X14"/>
    <mergeCell ref="T15:X15"/>
    <mergeCell ref="Y15:AC15"/>
    <mergeCell ref="T16:X16"/>
    <mergeCell ref="Y16:AC16"/>
    <mergeCell ref="AN21:AQ21"/>
    <mergeCell ref="AS21:AV21"/>
    <mergeCell ref="AX21:BA21"/>
    <mergeCell ref="C24:BB24"/>
    <mergeCell ref="C25:BB25"/>
    <mergeCell ref="C26:BB26"/>
    <mergeCell ref="A28:BB48"/>
    <mergeCell ref="P14:S14"/>
    <mergeCell ref="P15:S16"/>
    <mergeCell ref="J19:O19"/>
    <mergeCell ref="E14:I14"/>
    <mergeCell ref="E15:I15"/>
    <mergeCell ref="J15:O15"/>
    <mergeCell ref="E16:I16"/>
    <mergeCell ref="J16:O16"/>
    <mergeCell ref="A23:B27"/>
    <mergeCell ref="AX11:BB11"/>
    <mergeCell ref="C9:BB10"/>
    <mergeCell ref="E11:I11"/>
    <mergeCell ref="J11:O11"/>
    <mergeCell ref="P11:S11"/>
    <mergeCell ref="T11:X11"/>
    <mergeCell ref="Y11:AC11"/>
    <mergeCell ref="AD11:AH11"/>
    <mergeCell ref="AD21:AG21"/>
    <mergeCell ref="AI21:AL21"/>
    <mergeCell ref="AI11:AM11"/>
    <mergeCell ref="AN11:AR11"/>
    <mergeCell ref="AS11:AW11"/>
    <mergeCell ref="A1:BB7"/>
    <mergeCell ref="J14:O14"/>
    <mergeCell ref="E12:I12"/>
    <mergeCell ref="J12:O12"/>
    <mergeCell ref="P12:S12"/>
    <mergeCell ref="T12:X12"/>
    <mergeCell ref="B9:B11"/>
    <mergeCell ref="E13:I13"/>
    <mergeCell ref="J13:O13"/>
    <mergeCell ref="P13:S13"/>
    <mergeCell ref="T13:X13"/>
    <mergeCell ref="Y13:AC13"/>
    <mergeCell ref="Y12:AC12"/>
    <mergeCell ref="Y14:AC14"/>
    <mergeCell ref="P17:S17"/>
    <mergeCell ref="T17:X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5.57"/>
    <col customWidth="1" min="31" max="31" width="1.0"/>
    <col customWidth="1" min="32" max="32" width="4.43"/>
    <col customWidth="1" min="33" max="34" width="0.43"/>
    <col customWidth="1" min="35" max="35" width="6.71"/>
    <col customWidth="1" min="36" max="36" width="6.0"/>
    <col customWidth="1" min="37" max="37" width="9.43"/>
    <col customWidth="1" min="38" max="38" width="6.0"/>
    <col customWidth="1" min="39" max="39" width="5.86"/>
    <col customWidth="1" min="40" max="40" width="9.43"/>
    <col customWidth="1" min="41" max="42" width="6.71"/>
    <col customWidth="1" min="43" max="44" width="6.57"/>
    <col customWidth="1" min="45" max="45" width="9.43"/>
    <col customWidth="1" min="46" max="46" width="6.0"/>
    <col customWidth="1" min="47" max="47" width="5.86"/>
    <col customWidth="1" min="48" max="48" width="6.71"/>
    <col customWidth="1" min="49" max="49" width="7.0"/>
    <col customWidth="1" min="50" max="50" width="9.43"/>
  </cols>
  <sheetData>
    <row r="9">
      <c r="B9" s="53" t="s">
        <v>58</v>
      </c>
      <c r="C9" s="54" t="s">
        <v>102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67</v>
      </c>
      <c r="AE11" s="64"/>
      <c r="AF11" s="64"/>
      <c r="AG11" s="64"/>
      <c r="AH11" s="25"/>
      <c r="AI11" s="63" t="s">
        <v>68</v>
      </c>
      <c r="AJ11" s="64"/>
      <c r="AK11" s="25"/>
      <c r="AL11" s="63" t="s">
        <v>69</v>
      </c>
      <c r="AM11" s="64"/>
      <c r="AN11" s="25"/>
      <c r="AO11" s="63" t="s">
        <v>70</v>
      </c>
      <c r="AP11" s="64"/>
      <c r="AQ11" s="64"/>
      <c r="AR11" s="64"/>
      <c r="AS11" s="25"/>
      <c r="AT11" s="63" t="s">
        <v>71</v>
      </c>
      <c r="AU11" s="64"/>
      <c r="AV11" s="64"/>
      <c r="AW11" s="64"/>
      <c r="AX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149" t="s">
        <v>73</v>
      </c>
      <c r="AE12" s="64"/>
      <c r="AF12" s="64"/>
      <c r="AG12" s="64"/>
      <c r="AH12" s="25"/>
      <c r="AI12" s="66">
        <v>1.0</v>
      </c>
      <c r="AJ12" s="66">
        <v>2.0</v>
      </c>
      <c r="AK12" s="66" t="s">
        <v>76</v>
      </c>
      <c r="AL12" s="66">
        <v>1.0</v>
      </c>
      <c r="AM12" s="66">
        <v>2.0</v>
      </c>
      <c r="AN12" s="66" t="s">
        <v>76</v>
      </c>
      <c r="AO12" s="66">
        <v>1.0</v>
      </c>
      <c r="AP12" s="66">
        <v>2.0</v>
      </c>
      <c r="AQ12" s="66">
        <v>3.0</v>
      </c>
      <c r="AR12" s="66">
        <v>4.0</v>
      </c>
      <c r="AS12" s="66" t="s">
        <v>76</v>
      </c>
      <c r="AT12" s="66">
        <v>1.0</v>
      </c>
      <c r="AU12" s="66">
        <v>2.0</v>
      </c>
      <c r="AV12" s="66">
        <v>3.0</v>
      </c>
      <c r="AW12" s="66">
        <v>4.0</v>
      </c>
      <c r="AX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150"/>
      <c r="AE13" s="151"/>
      <c r="AF13" s="151"/>
      <c r="AG13" s="151"/>
      <c r="AH13" s="152"/>
      <c r="AI13" s="77">
        <v>4.16</v>
      </c>
      <c r="AJ13" s="78">
        <v>6.5</v>
      </c>
      <c r="AK13" s="73" t="str">
        <f t="shared" ref="AK13:AK18" si="1">SUM(AI13:AJ13)</f>
        <v>10.66</v>
      </c>
      <c r="AL13" s="77">
        <v>5.0</v>
      </c>
      <c r="AM13" s="78">
        <v>5.0</v>
      </c>
      <c r="AN13" s="73" t="str">
        <f t="shared" ref="AN13:AN19" si="2">SUM(AL13:AM13)</f>
        <v>10</v>
      </c>
      <c r="AO13" s="77"/>
      <c r="AP13" s="78">
        <v>2.5</v>
      </c>
      <c r="AQ13" s="78"/>
      <c r="AR13" s="79">
        <v>4.5</v>
      </c>
      <c r="AS13" s="73" t="str">
        <f t="shared" ref="AS13:AS19" si="3">SUM(AO13:AR13)</f>
        <v>7</v>
      </c>
      <c r="AT13" s="77"/>
      <c r="AU13" s="78"/>
      <c r="AV13" s="78"/>
      <c r="AW13" s="79"/>
      <c r="AX13" s="73" t="str">
        <f t="shared" ref="AX13:AX19" si="4">SUM(AT13:AW13)</f>
        <v>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153"/>
      <c r="AE14" s="154"/>
      <c r="AF14" s="154"/>
      <c r="AG14" s="154"/>
      <c r="AH14" s="155"/>
      <c r="AI14" s="89"/>
      <c r="AJ14" s="90"/>
      <c r="AK14" s="85" t="str">
        <f t="shared" si="1"/>
        <v>0</v>
      </c>
      <c r="AL14" s="89">
        <v>0.0</v>
      </c>
      <c r="AM14" s="90"/>
      <c r="AN14" s="85" t="str">
        <f t="shared" si="2"/>
        <v>0</v>
      </c>
      <c r="AO14" s="89"/>
      <c r="AP14" s="90"/>
      <c r="AQ14" s="90"/>
      <c r="AR14" s="91"/>
      <c r="AS14" s="85" t="str">
        <f t="shared" si="3"/>
        <v>0</v>
      </c>
      <c r="AT14" s="89"/>
      <c r="AU14" s="90"/>
      <c r="AV14" s="90"/>
      <c r="AW14" s="91"/>
      <c r="AX14" s="85" t="str">
        <f t="shared" si="4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56"/>
      <c r="AE15" s="154"/>
      <c r="AF15" s="154"/>
      <c r="AG15" s="154"/>
      <c r="AH15" s="155"/>
      <c r="AI15" s="101">
        <v>22.86</v>
      </c>
      <c r="AJ15" s="102">
        <v>3.5</v>
      </c>
      <c r="AK15" s="97" t="str">
        <f t="shared" si="1"/>
        <v>26.36</v>
      </c>
      <c r="AL15" s="101">
        <v>27.0</v>
      </c>
      <c r="AM15" s="102">
        <v>30.0</v>
      </c>
      <c r="AN15" s="97" t="str">
        <f t="shared" si="2"/>
        <v>57</v>
      </c>
      <c r="AO15" s="101"/>
      <c r="AP15" s="102">
        <v>30.3</v>
      </c>
      <c r="AQ15" s="102"/>
      <c r="AR15" s="103">
        <v>35.4</v>
      </c>
      <c r="AS15" s="97" t="str">
        <f t="shared" si="3"/>
        <v>65.7</v>
      </c>
      <c r="AT15" s="101"/>
      <c r="AU15" s="102"/>
      <c r="AV15" s="102"/>
      <c r="AW15" s="103"/>
      <c r="AX15" s="97" t="str">
        <f t="shared" si="4"/>
        <v>0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56"/>
      <c r="AE16" s="154"/>
      <c r="AF16" s="154"/>
      <c r="AG16" s="154"/>
      <c r="AH16" s="155"/>
      <c r="AI16" s="101">
        <v>22.78</v>
      </c>
      <c r="AJ16" s="102">
        <v>2.3</v>
      </c>
      <c r="AK16" s="97" t="str">
        <f t="shared" si="1"/>
        <v>25.08</v>
      </c>
      <c r="AL16" s="101">
        <v>5.5</v>
      </c>
      <c r="AM16" s="102">
        <v>2.0</v>
      </c>
      <c r="AN16" s="97" t="str">
        <f t="shared" si="2"/>
        <v>7.5</v>
      </c>
      <c r="AO16" s="101"/>
      <c r="AP16" s="102">
        <v>4.0</v>
      </c>
      <c r="AQ16" s="102"/>
      <c r="AR16" s="103">
        <v>0.5</v>
      </c>
      <c r="AS16" s="97" t="str">
        <f t="shared" si="3"/>
        <v>4.5</v>
      </c>
      <c r="AT16" s="101"/>
      <c r="AU16" s="102"/>
      <c r="AV16" s="102"/>
      <c r="AW16" s="103"/>
      <c r="AX16" s="97" t="str">
        <f t="shared" si="4"/>
        <v>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61"/>
      <c r="AE17" s="154"/>
      <c r="AF17" s="154"/>
      <c r="AG17" s="154"/>
      <c r="AH17" s="155"/>
      <c r="AI17" s="113">
        <v>0.4</v>
      </c>
      <c r="AJ17" s="114">
        <v>0.2</v>
      </c>
      <c r="AK17" s="109" t="str">
        <f t="shared" si="1"/>
        <v>0.6</v>
      </c>
      <c r="AL17" s="113">
        <v>0.7</v>
      </c>
      <c r="AM17" s="114"/>
      <c r="AN17" s="109" t="str">
        <f t="shared" si="2"/>
        <v>0.7</v>
      </c>
      <c r="AO17" s="113"/>
      <c r="AP17" s="114">
        <v>1.5</v>
      </c>
      <c r="AQ17" s="114"/>
      <c r="AR17" s="115"/>
      <c r="AS17" s="109" t="str">
        <f t="shared" si="3"/>
        <v>1.5</v>
      </c>
      <c r="AT17" s="113"/>
      <c r="AU17" s="114"/>
      <c r="AV17" s="114"/>
      <c r="AW17" s="115"/>
      <c r="AX17" s="109" t="str">
        <f t="shared" si="4"/>
        <v>0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61"/>
      <c r="AE18" s="154"/>
      <c r="AF18" s="154"/>
      <c r="AG18" s="154"/>
      <c r="AH18" s="155"/>
      <c r="AI18" s="113"/>
      <c r="AJ18" s="114"/>
      <c r="AK18" s="163" t="str">
        <f t="shared" si="1"/>
        <v>0</v>
      </c>
      <c r="AL18" s="113"/>
      <c r="AM18" s="114"/>
      <c r="AN18" s="163" t="str">
        <f t="shared" si="2"/>
        <v>0</v>
      </c>
      <c r="AO18" s="113"/>
      <c r="AP18" s="114"/>
      <c r="AQ18" s="114"/>
      <c r="AR18" s="115"/>
      <c r="AS18" s="109" t="str">
        <f t="shared" si="3"/>
        <v>0</v>
      </c>
      <c r="AT18" s="113"/>
      <c r="AU18" s="114"/>
      <c r="AV18" s="114"/>
      <c r="AW18" s="115"/>
      <c r="AX18" s="109" t="str">
        <f t="shared" si="4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5"/>
      <c r="AE19" s="158"/>
      <c r="AF19" s="158"/>
      <c r="AG19" s="158"/>
      <c r="AH19" s="159"/>
      <c r="AI19" s="167">
        <v>5.0</v>
      </c>
      <c r="AJ19" s="167"/>
      <c r="AK19" s="168">
        <v>0.0</v>
      </c>
      <c r="AL19" s="167"/>
      <c r="AM19" s="167"/>
      <c r="AN19" s="168" t="str">
        <f t="shared" si="2"/>
        <v>0</v>
      </c>
      <c r="AO19" s="127"/>
      <c r="AP19" s="128"/>
      <c r="AQ19" s="128"/>
      <c r="AR19" s="129"/>
      <c r="AS19" s="125" t="str">
        <f t="shared" si="3"/>
        <v>0</v>
      </c>
      <c r="AT19" s="127"/>
      <c r="AU19" s="128"/>
      <c r="AV19" s="128"/>
      <c r="AW19" s="129"/>
      <c r="AX19" s="125" t="str">
        <f t="shared" si="4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70"/>
      <c r="AE20" s="170"/>
      <c r="AF20" s="167"/>
      <c r="AG20" s="167"/>
      <c r="AH20" s="167" t="str">
        <f>SUM(AD20:AG20)</f>
        <v>0</v>
      </c>
      <c r="AI20" s="167">
        <v>0.0</v>
      </c>
      <c r="AJ20" s="167"/>
      <c r="AK20" s="168"/>
      <c r="AL20" s="167"/>
      <c r="AM20" s="167"/>
      <c r="AN20" s="168"/>
      <c r="AO20" s="172"/>
      <c r="AP20" s="172"/>
      <c r="AQ20" s="172"/>
      <c r="AR20" s="172"/>
      <c r="AS20" s="170"/>
      <c r="AT20" s="172"/>
      <c r="AU20" s="172"/>
      <c r="AV20" s="172"/>
      <c r="AW20" s="172"/>
      <c r="AX20" s="170"/>
    </row>
    <row r="21" ht="15.75" customHeight="1">
      <c r="B21" s="130" t="s">
        <v>90</v>
      </c>
      <c r="C21" s="131" t="str">
        <f t="shared" ref="C21:D21" si="5">SUM(C13:C19)</f>
        <v>0</v>
      </c>
      <c r="D21" s="132" t="str">
        <f t="shared" si="5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33"/>
      <c r="AE21" s="134"/>
      <c r="AF21" s="134"/>
      <c r="AG21" s="135"/>
      <c r="AH21" s="132" t="str">
        <f>SUM(AH13:AH20)</f>
        <v>0</v>
      </c>
      <c r="AI21" s="174"/>
      <c r="AJ21" s="176"/>
      <c r="AK21" s="132" t="str">
        <f>SUM(AK13:AK19)</f>
        <v>62.7</v>
      </c>
      <c r="AL21" s="174"/>
      <c r="AM21" s="176"/>
      <c r="AN21" s="132" t="str">
        <f>SUM(AN13:AN19)</f>
        <v>75.2</v>
      </c>
      <c r="AO21" s="133"/>
      <c r="AP21" s="134"/>
      <c r="AQ21" s="134"/>
      <c r="AR21" s="135"/>
      <c r="AS21" s="136" t="str">
        <f>SUM(AS13:AS19)</f>
        <v>78.7</v>
      </c>
      <c r="AT21" s="133"/>
      <c r="AU21" s="134"/>
      <c r="AV21" s="134"/>
      <c r="AW21" s="135"/>
      <c r="AX21" s="136" t="str">
        <f>SUM(AX13:AX19)</f>
        <v>0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</row>
    <row r="23" ht="15.75" customHeight="1">
      <c r="C23" s="139" t="s">
        <v>91</v>
      </c>
    </row>
    <row r="24" ht="15.75" customHeight="1">
      <c r="C24" s="140" t="s">
        <v>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"/>
    </row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3"/>
    </row>
    <row r="29" ht="15.75" customHeight="1">
      <c r="A29" s="144"/>
      <c r="AX29" s="145"/>
    </row>
    <row r="30" ht="15.75" customHeight="1">
      <c r="A30" s="144"/>
      <c r="AX30" s="145"/>
    </row>
    <row r="31" ht="15.75" customHeight="1">
      <c r="A31" s="144"/>
      <c r="AX31" s="145"/>
    </row>
    <row r="32" ht="15.75" customHeight="1">
      <c r="A32" s="144"/>
      <c r="AX32" s="145"/>
    </row>
    <row r="33" ht="15.75" customHeight="1">
      <c r="A33" s="144"/>
      <c r="AX33" s="145"/>
    </row>
    <row r="34" ht="15.75" customHeight="1">
      <c r="A34" s="144"/>
      <c r="AX34" s="145"/>
    </row>
    <row r="35" ht="15.75" customHeight="1">
      <c r="A35" s="144"/>
      <c r="AX35" s="145"/>
    </row>
    <row r="36" ht="15.75" customHeight="1">
      <c r="A36" s="144"/>
      <c r="AX36" s="145"/>
    </row>
    <row r="37" ht="15.75" customHeight="1">
      <c r="A37" s="144"/>
      <c r="AX37" s="145"/>
    </row>
    <row r="38" ht="15.75" customHeight="1">
      <c r="A38" s="144"/>
      <c r="AX38" s="145"/>
    </row>
    <row r="39" ht="15.75" customHeight="1">
      <c r="A39" s="144"/>
      <c r="AX39" s="145"/>
    </row>
    <row r="40" ht="15.75" customHeight="1">
      <c r="A40" s="144"/>
      <c r="AX40" s="145"/>
    </row>
    <row r="41" ht="15.75" customHeight="1">
      <c r="A41" s="144"/>
      <c r="AX41" s="145"/>
    </row>
    <row r="42" ht="15.75" customHeight="1">
      <c r="A42" s="144"/>
      <c r="AX42" s="145"/>
    </row>
    <row r="43" ht="15.75" customHeight="1">
      <c r="A43" s="144"/>
      <c r="AX43" s="145"/>
    </row>
    <row r="44" ht="15.75" customHeight="1">
      <c r="A44" s="144"/>
      <c r="AX44" s="145"/>
    </row>
    <row r="45" ht="15.75" customHeight="1">
      <c r="A45" s="144"/>
      <c r="AX45" s="145"/>
    </row>
    <row r="46" ht="15.75" customHeight="1">
      <c r="A46" s="144"/>
      <c r="AX46" s="145"/>
    </row>
    <row r="47" ht="15.75" customHeight="1">
      <c r="A47" s="144"/>
      <c r="AX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74">
    <mergeCell ref="P21:R21"/>
    <mergeCell ref="T21:W21"/>
    <mergeCell ref="Y21:AB21"/>
    <mergeCell ref="AD21:AG21"/>
    <mergeCell ref="C24:AX24"/>
    <mergeCell ref="C25:AX25"/>
    <mergeCell ref="C26:AX26"/>
    <mergeCell ref="A28:AX48"/>
    <mergeCell ref="T18:X18"/>
    <mergeCell ref="T19:X19"/>
    <mergeCell ref="Y19:AC19"/>
    <mergeCell ref="AD19:AH19"/>
    <mergeCell ref="Y18:AC18"/>
    <mergeCell ref="AD18:AH18"/>
    <mergeCell ref="P18:S19"/>
    <mergeCell ref="AL21:AM21"/>
    <mergeCell ref="AO21:AR21"/>
    <mergeCell ref="AT21:AW21"/>
    <mergeCell ref="AI21:AJ21"/>
    <mergeCell ref="AT11:AX11"/>
    <mergeCell ref="C9:AX10"/>
    <mergeCell ref="E11:I11"/>
    <mergeCell ref="J11:O11"/>
    <mergeCell ref="P11:S11"/>
    <mergeCell ref="T11:X11"/>
    <mergeCell ref="Y11:AC11"/>
    <mergeCell ref="AD11:AH11"/>
    <mergeCell ref="AI11:AK11"/>
    <mergeCell ref="AL11:AN11"/>
    <mergeCell ref="AO11:AS11"/>
    <mergeCell ref="A1:AX7"/>
    <mergeCell ref="B9:B11"/>
    <mergeCell ref="Y14:AC14"/>
    <mergeCell ref="AD14:AH14"/>
    <mergeCell ref="Y15:AC15"/>
    <mergeCell ref="AD15:AH15"/>
    <mergeCell ref="J16:O16"/>
    <mergeCell ref="J17:O17"/>
    <mergeCell ref="P17:S17"/>
    <mergeCell ref="T17:X17"/>
    <mergeCell ref="Y17:AC17"/>
    <mergeCell ref="AD17:AH17"/>
    <mergeCell ref="E15:I15"/>
    <mergeCell ref="E16:I16"/>
    <mergeCell ref="E17:I17"/>
    <mergeCell ref="E18:I18"/>
    <mergeCell ref="E19:I19"/>
    <mergeCell ref="A23:B27"/>
    <mergeCell ref="E21:I21"/>
    <mergeCell ref="J18:O18"/>
    <mergeCell ref="J21:O21"/>
    <mergeCell ref="J19:O19"/>
    <mergeCell ref="T15:X15"/>
    <mergeCell ref="T16:X16"/>
    <mergeCell ref="Y16:AC16"/>
    <mergeCell ref="AD16:AH16"/>
    <mergeCell ref="T13:X13"/>
    <mergeCell ref="Y13:AC13"/>
    <mergeCell ref="T14:X14"/>
    <mergeCell ref="AD13:AH13"/>
    <mergeCell ref="E12:I12"/>
    <mergeCell ref="J12:O12"/>
    <mergeCell ref="P12:S12"/>
    <mergeCell ref="T12:X12"/>
    <mergeCell ref="Y12:AC12"/>
    <mergeCell ref="AD12:AH12"/>
    <mergeCell ref="J13:O13"/>
    <mergeCell ref="P13:S13"/>
    <mergeCell ref="E14:I14"/>
    <mergeCell ref="J14:O14"/>
    <mergeCell ref="P14:S14"/>
    <mergeCell ref="J15:O15"/>
    <mergeCell ref="P15:S16"/>
    <mergeCell ref="E13:I13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5.57"/>
    <col customWidth="1" min="31" max="31" width="1.0"/>
    <col customWidth="1" min="32" max="32" width="4.43"/>
    <col customWidth="1" min="33" max="34" width="0.43"/>
    <col customWidth="1" min="35" max="35" width="6.71"/>
    <col customWidth="1" min="36" max="36" width="6.0"/>
    <col customWidth="1" min="37" max="37" width="9.43"/>
    <col customWidth="1" min="38" max="38" width="6.0"/>
    <col customWidth="1" min="39" max="39" width="5.86"/>
    <col customWidth="1" min="40" max="40" width="9.43"/>
    <col customWidth="1" min="41" max="42" width="6.71"/>
    <col customWidth="1" min="43" max="44" width="6.57"/>
    <col customWidth="1" min="45" max="45" width="9.43"/>
    <col customWidth="1" min="46" max="46" width="6.0"/>
    <col customWidth="1" min="47" max="47" width="5.86"/>
    <col customWidth="1" min="48" max="48" width="6.71"/>
    <col customWidth="1" min="49" max="49" width="7.0"/>
    <col customWidth="1" min="50" max="50" width="9.43"/>
  </cols>
  <sheetData>
    <row r="9">
      <c r="B9" s="53" t="s">
        <v>58</v>
      </c>
      <c r="C9" s="54" t="s">
        <v>103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67</v>
      </c>
      <c r="AE11" s="64"/>
      <c r="AF11" s="64"/>
      <c r="AG11" s="64"/>
      <c r="AH11" s="25"/>
      <c r="AI11" s="63" t="s">
        <v>68</v>
      </c>
      <c r="AJ11" s="64"/>
      <c r="AK11" s="25"/>
      <c r="AL11" s="63" t="s">
        <v>69</v>
      </c>
      <c r="AM11" s="64"/>
      <c r="AN11" s="25"/>
      <c r="AO11" s="63" t="s">
        <v>70</v>
      </c>
      <c r="AP11" s="64"/>
      <c r="AQ11" s="64"/>
      <c r="AR11" s="64"/>
      <c r="AS11" s="25"/>
      <c r="AT11" s="63" t="s">
        <v>71</v>
      </c>
      <c r="AU11" s="64"/>
      <c r="AV11" s="64"/>
      <c r="AW11" s="64"/>
      <c r="AX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149" t="s">
        <v>73</v>
      </c>
      <c r="AE12" s="64"/>
      <c r="AF12" s="64"/>
      <c r="AG12" s="64"/>
      <c r="AH12" s="25"/>
      <c r="AI12" s="66">
        <v>1.0</v>
      </c>
      <c r="AJ12" s="66">
        <v>2.0</v>
      </c>
      <c r="AK12" s="66" t="s">
        <v>76</v>
      </c>
      <c r="AL12" s="66">
        <v>1.0</v>
      </c>
      <c r="AM12" s="66">
        <v>2.0</v>
      </c>
      <c r="AN12" s="66" t="s">
        <v>76</v>
      </c>
      <c r="AO12" s="66">
        <v>1.0</v>
      </c>
      <c r="AP12" s="66">
        <v>2.0</v>
      </c>
      <c r="AQ12" s="66">
        <v>3.0</v>
      </c>
      <c r="AR12" s="66">
        <v>4.0</v>
      </c>
      <c r="AS12" s="66" t="s">
        <v>76</v>
      </c>
      <c r="AT12" s="66">
        <v>1.0</v>
      </c>
      <c r="AU12" s="66">
        <v>2.0</v>
      </c>
      <c r="AV12" s="66">
        <v>3.0</v>
      </c>
      <c r="AW12" s="66">
        <v>4.0</v>
      </c>
      <c r="AX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150"/>
      <c r="AE13" s="151"/>
      <c r="AF13" s="151"/>
      <c r="AG13" s="151"/>
      <c r="AH13" s="152"/>
      <c r="AI13" s="77">
        <v>3.82</v>
      </c>
      <c r="AJ13" s="78"/>
      <c r="AK13" s="73" t="str">
        <f t="shared" ref="AK13:AK18" si="1">SUM(AI13:AJ13)</f>
        <v>3.82</v>
      </c>
      <c r="AL13" s="77"/>
      <c r="AM13" s="78"/>
      <c r="AN13" s="73" t="str">
        <f t="shared" ref="AN13:AN19" si="2">SUM(AL13:AM13)</f>
        <v>0</v>
      </c>
      <c r="AO13" s="77"/>
      <c r="AP13" s="78"/>
      <c r="AQ13" s="78"/>
      <c r="AR13" s="79"/>
      <c r="AS13" s="73" t="str">
        <f t="shared" ref="AS13:AS19" si="3">SUM(AO13:AR13)</f>
        <v>0</v>
      </c>
      <c r="AT13" s="77"/>
      <c r="AU13" s="78"/>
      <c r="AV13" s="78"/>
      <c r="AW13" s="79"/>
      <c r="AX13" s="73" t="str">
        <f t="shared" ref="AX13:AX19" si="4">SUM(AT13:AW13)</f>
        <v>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153"/>
      <c r="AE14" s="154"/>
      <c r="AF14" s="154"/>
      <c r="AG14" s="154"/>
      <c r="AH14" s="155"/>
      <c r="AI14" s="89">
        <v>0.0</v>
      </c>
      <c r="AJ14" s="90"/>
      <c r="AK14" s="85" t="str">
        <f t="shared" si="1"/>
        <v>0</v>
      </c>
      <c r="AL14" s="89"/>
      <c r="AM14" s="90"/>
      <c r="AN14" s="85" t="str">
        <f t="shared" si="2"/>
        <v>0</v>
      </c>
      <c r="AO14" s="89"/>
      <c r="AP14" s="90"/>
      <c r="AQ14" s="90"/>
      <c r="AR14" s="91"/>
      <c r="AS14" s="85" t="str">
        <f t="shared" si="3"/>
        <v>0</v>
      </c>
      <c r="AT14" s="89"/>
      <c r="AU14" s="90"/>
      <c r="AV14" s="90"/>
      <c r="AW14" s="91"/>
      <c r="AX14" s="85" t="str">
        <f t="shared" si="4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56"/>
      <c r="AE15" s="154"/>
      <c r="AF15" s="154"/>
      <c r="AG15" s="154"/>
      <c r="AH15" s="155"/>
      <c r="AI15" s="101">
        <v>22.86</v>
      </c>
      <c r="AJ15" s="102"/>
      <c r="AK15" s="97" t="str">
        <f t="shared" si="1"/>
        <v>22.86</v>
      </c>
      <c r="AL15" s="101"/>
      <c r="AM15" s="102"/>
      <c r="AN15" s="97" t="str">
        <f t="shared" si="2"/>
        <v>0</v>
      </c>
      <c r="AO15" s="101"/>
      <c r="AP15" s="102"/>
      <c r="AQ15" s="102"/>
      <c r="AR15" s="103"/>
      <c r="AS15" s="97" t="str">
        <f t="shared" si="3"/>
        <v>0</v>
      </c>
      <c r="AT15" s="101"/>
      <c r="AU15" s="102"/>
      <c r="AV15" s="102"/>
      <c r="AW15" s="103"/>
      <c r="AX15" s="97" t="str">
        <f t="shared" si="4"/>
        <v>0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56"/>
      <c r="AE16" s="154"/>
      <c r="AF16" s="154"/>
      <c r="AG16" s="154"/>
      <c r="AH16" s="155"/>
      <c r="AI16" s="101">
        <v>0.0</v>
      </c>
      <c r="AJ16" s="102"/>
      <c r="AK16" s="97" t="str">
        <f t="shared" si="1"/>
        <v>0</v>
      </c>
      <c r="AL16" s="101"/>
      <c r="AM16" s="102"/>
      <c r="AN16" s="97" t="str">
        <f t="shared" si="2"/>
        <v>0</v>
      </c>
      <c r="AO16" s="101"/>
      <c r="AP16" s="102"/>
      <c r="AQ16" s="102"/>
      <c r="AR16" s="103"/>
      <c r="AS16" s="97" t="str">
        <f t="shared" si="3"/>
        <v>0</v>
      </c>
      <c r="AT16" s="101"/>
      <c r="AU16" s="102"/>
      <c r="AV16" s="102"/>
      <c r="AW16" s="103"/>
      <c r="AX16" s="97" t="str">
        <f t="shared" si="4"/>
        <v>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61"/>
      <c r="AE17" s="154"/>
      <c r="AF17" s="154"/>
      <c r="AG17" s="154"/>
      <c r="AH17" s="155"/>
      <c r="AI17" s="113">
        <v>0.0</v>
      </c>
      <c r="AJ17" s="114"/>
      <c r="AK17" s="109" t="str">
        <f t="shared" si="1"/>
        <v>0</v>
      </c>
      <c r="AL17" s="113"/>
      <c r="AM17" s="114"/>
      <c r="AN17" s="109" t="str">
        <f t="shared" si="2"/>
        <v>0</v>
      </c>
      <c r="AO17" s="113"/>
      <c r="AP17" s="114"/>
      <c r="AQ17" s="114"/>
      <c r="AR17" s="115"/>
      <c r="AS17" s="109" t="str">
        <f t="shared" si="3"/>
        <v>0</v>
      </c>
      <c r="AT17" s="113"/>
      <c r="AU17" s="114"/>
      <c r="AV17" s="114"/>
      <c r="AW17" s="115"/>
      <c r="AX17" s="109" t="str">
        <f t="shared" si="4"/>
        <v>0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61"/>
      <c r="AE18" s="154"/>
      <c r="AF18" s="154"/>
      <c r="AG18" s="154"/>
      <c r="AH18" s="155"/>
      <c r="AI18" s="113"/>
      <c r="AJ18" s="114"/>
      <c r="AK18" s="163" t="str">
        <f t="shared" si="1"/>
        <v>0</v>
      </c>
      <c r="AL18" s="113"/>
      <c r="AM18" s="114"/>
      <c r="AN18" s="163" t="str">
        <f t="shared" si="2"/>
        <v>0</v>
      </c>
      <c r="AO18" s="113"/>
      <c r="AP18" s="114"/>
      <c r="AQ18" s="114"/>
      <c r="AR18" s="115"/>
      <c r="AS18" s="109" t="str">
        <f t="shared" si="3"/>
        <v>0</v>
      </c>
      <c r="AT18" s="113"/>
      <c r="AU18" s="114"/>
      <c r="AV18" s="114"/>
      <c r="AW18" s="115"/>
      <c r="AX18" s="109" t="str">
        <f t="shared" si="4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5"/>
      <c r="AE19" s="158"/>
      <c r="AF19" s="158"/>
      <c r="AG19" s="158"/>
      <c r="AH19" s="159"/>
      <c r="AI19" s="167">
        <v>12.0</v>
      </c>
      <c r="AJ19" s="167"/>
      <c r="AK19" s="168">
        <v>0.0</v>
      </c>
      <c r="AL19" s="167"/>
      <c r="AM19" s="167"/>
      <c r="AN19" s="168" t="str">
        <f t="shared" si="2"/>
        <v>0</v>
      </c>
      <c r="AO19" s="127"/>
      <c r="AP19" s="128"/>
      <c r="AQ19" s="128"/>
      <c r="AR19" s="129"/>
      <c r="AS19" s="125" t="str">
        <f t="shared" si="3"/>
        <v>0</v>
      </c>
      <c r="AT19" s="127"/>
      <c r="AU19" s="128"/>
      <c r="AV19" s="128"/>
      <c r="AW19" s="129"/>
      <c r="AX19" s="125" t="str">
        <f t="shared" si="4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70"/>
      <c r="AE20" s="170"/>
      <c r="AF20" s="167"/>
      <c r="AG20" s="167"/>
      <c r="AH20" s="167" t="str">
        <f>SUM(AD20:AG20)</f>
        <v>0</v>
      </c>
      <c r="AI20" s="167">
        <v>0.0</v>
      </c>
      <c r="AJ20" s="167"/>
      <c r="AK20" s="168"/>
      <c r="AL20" s="167"/>
      <c r="AM20" s="167"/>
      <c r="AN20" s="168"/>
      <c r="AO20" s="172"/>
      <c r="AP20" s="172"/>
      <c r="AQ20" s="172"/>
      <c r="AR20" s="172"/>
      <c r="AS20" s="170"/>
      <c r="AT20" s="172"/>
      <c r="AU20" s="172"/>
      <c r="AV20" s="172"/>
      <c r="AW20" s="172"/>
      <c r="AX20" s="170"/>
    </row>
    <row r="21" ht="15.75" customHeight="1">
      <c r="B21" s="130" t="s">
        <v>90</v>
      </c>
      <c r="C21" s="131" t="str">
        <f t="shared" ref="C21:D21" si="5">SUM(C13:C19)</f>
        <v>0</v>
      </c>
      <c r="D21" s="132" t="str">
        <f t="shared" si="5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33"/>
      <c r="AE21" s="134"/>
      <c r="AF21" s="134"/>
      <c r="AG21" s="135"/>
      <c r="AH21" s="132" t="str">
        <f>SUM(AH13:AH20)</f>
        <v>0</v>
      </c>
      <c r="AI21" s="174"/>
      <c r="AJ21" s="176"/>
      <c r="AK21" s="132" t="str">
        <f>SUM(AK13:AK19)</f>
        <v>26.68</v>
      </c>
      <c r="AL21" s="174"/>
      <c r="AM21" s="176"/>
      <c r="AN21" s="132" t="str">
        <f>SUM(AN13:AN19)</f>
        <v>0</v>
      </c>
      <c r="AO21" s="133"/>
      <c r="AP21" s="134"/>
      <c r="AQ21" s="134"/>
      <c r="AR21" s="135"/>
      <c r="AS21" s="136" t="str">
        <f>SUM(AS13:AS19)</f>
        <v>0</v>
      </c>
      <c r="AT21" s="133"/>
      <c r="AU21" s="134"/>
      <c r="AV21" s="134"/>
      <c r="AW21" s="135"/>
      <c r="AX21" s="136" t="str">
        <f>SUM(AX13:AX19)</f>
        <v>0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</row>
    <row r="23" ht="15.75" customHeight="1">
      <c r="A23" s="140" t="s">
        <v>92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4"/>
    </row>
    <row r="24" ht="15.75" customHeight="1"/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3"/>
    </row>
    <row r="29" ht="15.75" customHeight="1">
      <c r="A29" s="144"/>
      <c r="AX29" s="145"/>
    </row>
    <row r="30" ht="15.75" customHeight="1">
      <c r="A30" s="144"/>
      <c r="AX30" s="145"/>
    </row>
    <row r="31" ht="15.75" customHeight="1">
      <c r="A31" s="144"/>
      <c r="AX31" s="145"/>
    </row>
    <row r="32" ht="15.75" customHeight="1">
      <c r="A32" s="144"/>
      <c r="AX32" s="145"/>
    </row>
    <row r="33" ht="15.75" customHeight="1">
      <c r="A33" s="144"/>
      <c r="AX33" s="145"/>
    </row>
    <row r="34" ht="15.75" customHeight="1">
      <c r="A34" s="144"/>
      <c r="AX34" s="145"/>
    </row>
    <row r="35" ht="15.75" customHeight="1">
      <c r="A35" s="144"/>
      <c r="AX35" s="145"/>
    </row>
    <row r="36" ht="15.75" customHeight="1">
      <c r="A36" s="144"/>
      <c r="AX36" s="145"/>
    </row>
    <row r="37" ht="15.75" customHeight="1">
      <c r="A37" s="144"/>
      <c r="AX37" s="145"/>
    </row>
    <row r="38" ht="15.75" customHeight="1">
      <c r="A38" s="144"/>
      <c r="AX38" s="145"/>
    </row>
    <row r="39" ht="15.75" customHeight="1">
      <c r="A39" s="144"/>
      <c r="AX39" s="145"/>
    </row>
    <row r="40" ht="15.75" customHeight="1">
      <c r="A40" s="144"/>
      <c r="AX40" s="145"/>
    </row>
    <row r="41" ht="15.75" customHeight="1">
      <c r="A41" s="144"/>
      <c r="AX41" s="145"/>
    </row>
    <row r="42" ht="15.75" customHeight="1">
      <c r="A42" s="144"/>
      <c r="AX42" s="145"/>
    </row>
    <row r="43" ht="15.75" customHeight="1">
      <c r="A43" s="144"/>
      <c r="AX43" s="145"/>
    </row>
    <row r="44" ht="15.75" customHeight="1">
      <c r="A44" s="144"/>
      <c r="AX44" s="145"/>
    </row>
    <row r="45" ht="15.75" customHeight="1">
      <c r="A45" s="144"/>
      <c r="AX45" s="145"/>
    </row>
    <row r="46" ht="15.75" customHeight="1">
      <c r="A46" s="144"/>
      <c r="AX46" s="145"/>
    </row>
    <row r="47" ht="15.75" customHeight="1">
      <c r="A47" s="144"/>
      <c r="AX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73">
    <mergeCell ref="P21:R21"/>
    <mergeCell ref="T21:W21"/>
    <mergeCell ref="Y21:AB21"/>
    <mergeCell ref="AD21:AG21"/>
    <mergeCell ref="A23:AV23"/>
    <mergeCell ref="C25:AX25"/>
    <mergeCell ref="C26:AX26"/>
    <mergeCell ref="A28:AX48"/>
    <mergeCell ref="T18:X18"/>
    <mergeCell ref="T19:X19"/>
    <mergeCell ref="Y19:AC19"/>
    <mergeCell ref="AD19:AH19"/>
    <mergeCell ref="Y18:AC18"/>
    <mergeCell ref="AD18:AH18"/>
    <mergeCell ref="P18:S19"/>
    <mergeCell ref="AL21:AM21"/>
    <mergeCell ref="AO21:AR21"/>
    <mergeCell ref="AT21:AW21"/>
    <mergeCell ref="AI21:AJ21"/>
    <mergeCell ref="AT11:AX11"/>
    <mergeCell ref="C9:AX10"/>
    <mergeCell ref="E11:I11"/>
    <mergeCell ref="J11:O11"/>
    <mergeCell ref="P11:S11"/>
    <mergeCell ref="T11:X11"/>
    <mergeCell ref="Y11:AC11"/>
    <mergeCell ref="AD11:AH11"/>
    <mergeCell ref="AI11:AK11"/>
    <mergeCell ref="AL11:AN11"/>
    <mergeCell ref="AO11:AS11"/>
    <mergeCell ref="A1:AX7"/>
    <mergeCell ref="B9:B11"/>
    <mergeCell ref="Y14:AC14"/>
    <mergeCell ref="AD14:AH14"/>
    <mergeCell ref="Y15:AC15"/>
    <mergeCell ref="AD15:AH15"/>
    <mergeCell ref="J16:O16"/>
    <mergeCell ref="J17:O17"/>
    <mergeCell ref="P17:S17"/>
    <mergeCell ref="T17:X17"/>
    <mergeCell ref="Y17:AC17"/>
    <mergeCell ref="AD17:AH17"/>
    <mergeCell ref="E15:I15"/>
    <mergeCell ref="E16:I16"/>
    <mergeCell ref="E17:I17"/>
    <mergeCell ref="E18:I18"/>
    <mergeCell ref="E19:I19"/>
    <mergeCell ref="E21:I21"/>
    <mergeCell ref="J18:O18"/>
    <mergeCell ref="J21:O21"/>
    <mergeCell ref="J19:O19"/>
    <mergeCell ref="T15:X15"/>
    <mergeCell ref="T16:X16"/>
    <mergeCell ref="Y16:AC16"/>
    <mergeCell ref="AD16:AH16"/>
    <mergeCell ref="T13:X13"/>
    <mergeCell ref="Y13:AC13"/>
    <mergeCell ref="T14:X14"/>
    <mergeCell ref="AD13:AH13"/>
    <mergeCell ref="E12:I12"/>
    <mergeCell ref="J12:O12"/>
    <mergeCell ref="P12:S12"/>
    <mergeCell ref="T12:X12"/>
    <mergeCell ref="Y12:AC12"/>
    <mergeCell ref="AD12:AH12"/>
    <mergeCell ref="J13:O13"/>
    <mergeCell ref="P13:S13"/>
    <mergeCell ref="E14:I14"/>
    <mergeCell ref="J14:O14"/>
    <mergeCell ref="P14:S14"/>
    <mergeCell ref="J15:O15"/>
    <mergeCell ref="P15:S16"/>
    <mergeCell ref="E13:I1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0.71"/>
    <col customWidth="1" min="4" max="4" width="12.14"/>
    <col customWidth="1" min="5" max="5" width="6.14"/>
    <col customWidth="1" min="6" max="6" width="6.71"/>
    <col customWidth="1" min="7" max="8" width="0.43"/>
    <col customWidth="1" min="9" max="9" width="2.14"/>
    <col customWidth="1" min="10" max="11" width="5.57"/>
    <col customWidth="1" min="12" max="12" width="0.43"/>
    <col customWidth="1" min="13" max="13" width="0.71"/>
    <col customWidth="1" min="14" max="15" width="0.43"/>
    <col customWidth="1" min="16" max="16" width="5.86"/>
    <col customWidth="1" min="17" max="17" width="0.43"/>
    <col customWidth="1" min="18" max="18" width="1.14"/>
    <col customWidth="1" min="19" max="19" width="2.71"/>
    <col customWidth="1" min="20" max="20" width="0.86"/>
    <col customWidth="1" min="21" max="21" width="1.14"/>
    <col customWidth="1" min="22" max="22" width="5.57"/>
    <col customWidth="1" min="23" max="23" width="1.71"/>
    <col customWidth="1" min="24" max="24" width="0.43"/>
    <col customWidth="1" min="25" max="25" width="2.14"/>
    <col customWidth="1" min="26" max="27" width="0.43"/>
    <col customWidth="1" min="28" max="28" width="5.29"/>
    <col customWidth="1" min="29" max="29" width="2.57"/>
    <col customWidth="1" min="30" max="30" width="6.71"/>
    <col customWidth="1" min="31" max="31" width="6.0"/>
    <col customWidth="1" min="32" max="32" width="9.43"/>
    <col customWidth="1" min="33" max="33" width="6.0"/>
    <col customWidth="1" min="34" max="34" width="5.86"/>
    <col customWidth="1" min="35" max="35" width="9.43"/>
    <col customWidth="1" min="36" max="37" width="6.71"/>
    <col customWidth="1" min="38" max="39" width="6.57"/>
    <col customWidth="1" min="40" max="40" width="9.43"/>
    <col customWidth="1" min="41" max="41" width="6.0"/>
    <col customWidth="1" min="42" max="42" width="5.86"/>
    <col customWidth="1" min="43" max="43" width="6.71"/>
    <col customWidth="1" min="44" max="44" width="7.0"/>
    <col customWidth="1" min="45" max="45" width="9.43"/>
  </cols>
  <sheetData>
    <row r="9">
      <c r="B9" s="53" t="s">
        <v>58</v>
      </c>
      <c r="C9" s="54" t="s">
        <v>104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6"/>
    </row>
    <row r="10"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60"/>
    </row>
    <row r="11">
      <c r="B11" s="61"/>
      <c r="C11" s="62" t="s">
        <v>60</v>
      </c>
      <c r="D11" s="62" t="s">
        <v>61</v>
      </c>
      <c r="E11" s="63" t="s">
        <v>62</v>
      </c>
      <c r="F11" s="64"/>
      <c r="G11" s="64"/>
      <c r="H11" s="64"/>
      <c r="I11" s="25"/>
      <c r="J11" s="63" t="s">
        <v>63</v>
      </c>
      <c r="K11" s="64"/>
      <c r="L11" s="64"/>
      <c r="M11" s="64"/>
      <c r="N11" s="64"/>
      <c r="O11" s="25"/>
      <c r="P11" s="63" t="s">
        <v>97</v>
      </c>
      <c r="Q11" s="64"/>
      <c r="R11" s="64"/>
      <c r="S11" s="25"/>
      <c r="T11" s="63" t="s">
        <v>65</v>
      </c>
      <c r="U11" s="64"/>
      <c r="V11" s="64"/>
      <c r="W11" s="64"/>
      <c r="X11" s="25"/>
      <c r="Y11" s="63" t="s">
        <v>66</v>
      </c>
      <c r="Z11" s="64"/>
      <c r="AA11" s="64"/>
      <c r="AB11" s="64"/>
      <c r="AC11" s="25"/>
      <c r="AD11" s="63" t="s">
        <v>105</v>
      </c>
      <c r="AE11" s="64"/>
      <c r="AF11" s="25"/>
      <c r="AG11" s="63" t="s">
        <v>69</v>
      </c>
      <c r="AH11" s="64"/>
      <c r="AI11" s="25"/>
      <c r="AJ11" s="63" t="s">
        <v>70</v>
      </c>
      <c r="AK11" s="64"/>
      <c r="AL11" s="64"/>
      <c r="AM11" s="64"/>
      <c r="AN11" s="25"/>
      <c r="AO11" s="63" t="s">
        <v>71</v>
      </c>
      <c r="AP11" s="64"/>
      <c r="AQ11" s="64"/>
      <c r="AR11" s="64"/>
      <c r="AS11" s="25"/>
    </row>
    <row r="12">
      <c r="B12" s="65" t="s">
        <v>72</v>
      </c>
      <c r="C12" s="66" t="s">
        <v>73</v>
      </c>
      <c r="D12" s="66" t="s">
        <v>73</v>
      </c>
      <c r="E12" s="149" t="s">
        <v>73</v>
      </c>
      <c r="F12" s="64"/>
      <c r="G12" s="64"/>
      <c r="H12" s="64"/>
      <c r="I12" s="25"/>
      <c r="J12" s="149" t="s">
        <v>73</v>
      </c>
      <c r="K12" s="64"/>
      <c r="L12" s="64"/>
      <c r="M12" s="64"/>
      <c r="N12" s="64"/>
      <c r="O12" s="25"/>
      <c r="P12" s="149" t="s">
        <v>73</v>
      </c>
      <c r="Q12" s="64"/>
      <c r="R12" s="64"/>
      <c r="S12" s="25"/>
      <c r="T12" s="149" t="s">
        <v>73</v>
      </c>
      <c r="U12" s="64"/>
      <c r="V12" s="64"/>
      <c r="W12" s="64"/>
      <c r="X12" s="25"/>
      <c r="Y12" s="149" t="s">
        <v>73</v>
      </c>
      <c r="Z12" s="64"/>
      <c r="AA12" s="64"/>
      <c r="AB12" s="64"/>
      <c r="AC12" s="25"/>
      <c r="AD12" s="66">
        <v>1.0</v>
      </c>
      <c r="AE12" s="66">
        <v>2.0</v>
      </c>
      <c r="AF12" s="66" t="s">
        <v>76</v>
      </c>
      <c r="AG12" s="66">
        <v>1.0</v>
      </c>
      <c r="AH12" s="66">
        <v>2.0</v>
      </c>
      <c r="AI12" s="66" t="s">
        <v>76</v>
      </c>
      <c r="AJ12" s="66">
        <v>1.0</v>
      </c>
      <c r="AK12" s="66">
        <v>2.0</v>
      </c>
      <c r="AL12" s="66">
        <v>3.0</v>
      </c>
      <c r="AM12" s="66">
        <v>4.0</v>
      </c>
      <c r="AN12" s="66" t="s">
        <v>76</v>
      </c>
      <c r="AO12" s="66">
        <v>1.0</v>
      </c>
      <c r="AP12" s="66">
        <v>2.0</v>
      </c>
      <c r="AQ12" s="66">
        <v>3.0</v>
      </c>
      <c r="AR12" s="66">
        <v>4.0</v>
      </c>
      <c r="AS12" s="66" t="s">
        <v>76</v>
      </c>
    </row>
    <row r="13">
      <c r="B13" s="68" t="s">
        <v>82</v>
      </c>
      <c r="C13" s="69"/>
      <c r="D13" s="69"/>
      <c r="E13" s="150"/>
      <c r="F13" s="151"/>
      <c r="G13" s="151"/>
      <c r="H13" s="151"/>
      <c r="I13" s="152"/>
      <c r="J13" s="150"/>
      <c r="K13" s="151"/>
      <c r="L13" s="151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1"/>
      <c r="X13" s="152"/>
      <c r="Y13" s="150"/>
      <c r="Z13" s="151"/>
      <c r="AA13" s="151"/>
      <c r="AB13" s="151"/>
      <c r="AC13" s="152"/>
      <c r="AD13" s="77">
        <v>85.8</v>
      </c>
      <c r="AE13" s="78"/>
      <c r="AF13" s="73" t="str">
        <f t="shared" ref="AF13:AF18" si="1">SUM(AD13:AE13)</f>
        <v>85.8</v>
      </c>
      <c r="AG13" s="77"/>
      <c r="AH13" s="78"/>
      <c r="AI13" s="73" t="str">
        <f t="shared" ref="AI13:AI19" si="2">SUM(AG13:AH13)</f>
        <v>0</v>
      </c>
      <c r="AJ13" s="77"/>
      <c r="AK13" s="78"/>
      <c r="AL13" s="78"/>
      <c r="AM13" s="79"/>
      <c r="AN13" s="73" t="str">
        <f t="shared" ref="AN13:AN19" si="3">SUM(AJ13:AM13)</f>
        <v>0</v>
      </c>
      <c r="AO13" s="77"/>
      <c r="AP13" s="78"/>
      <c r="AQ13" s="78"/>
      <c r="AR13" s="79"/>
      <c r="AS13" s="73" t="str">
        <f t="shared" ref="AS13:AS19" si="4">SUM(AO13:AR13)</f>
        <v>0</v>
      </c>
    </row>
    <row r="14">
      <c r="B14" s="80" t="s">
        <v>84</v>
      </c>
      <c r="C14" s="81"/>
      <c r="D14" s="81"/>
      <c r="E14" s="153"/>
      <c r="F14" s="154"/>
      <c r="G14" s="154"/>
      <c r="H14" s="154"/>
      <c r="I14" s="155"/>
      <c r="J14" s="153"/>
      <c r="K14" s="154"/>
      <c r="L14" s="154"/>
      <c r="M14" s="154"/>
      <c r="N14" s="154"/>
      <c r="O14" s="155"/>
      <c r="P14" s="153"/>
      <c r="Q14" s="154"/>
      <c r="R14" s="154"/>
      <c r="S14" s="155"/>
      <c r="T14" s="153"/>
      <c r="U14" s="154"/>
      <c r="V14" s="154"/>
      <c r="W14" s="154"/>
      <c r="X14" s="155"/>
      <c r="Y14" s="153"/>
      <c r="Z14" s="154"/>
      <c r="AA14" s="154"/>
      <c r="AB14" s="154"/>
      <c r="AC14" s="155"/>
      <c r="AD14" s="89">
        <v>140.4</v>
      </c>
      <c r="AE14" s="90"/>
      <c r="AF14" s="85" t="str">
        <f t="shared" si="1"/>
        <v>140.4</v>
      </c>
      <c r="AG14" s="89"/>
      <c r="AH14" s="90"/>
      <c r="AI14" s="85" t="str">
        <f t="shared" si="2"/>
        <v>0</v>
      </c>
      <c r="AJ14" s="89"/>
      <c r="AK14" s="90"/>
      <c r="AL14" s="90"/>
      <c r="AM14" s="91"/>
      <c r="AN14" s="85" t="str">
        <f t="shared" si="3"/>
        <v>0</v>
      </c>
      <c r="AO14" s="89"/>
      <c r="AP14" s="90"/>
      <c r="AQ14" s="90"/>
      <c r="AR14" s="91"/>
      <c r="AS14" s="85" t="str">
        <f t="shared" si="4"/>
        <v>0</v>
      </c>
    </row>
    <row r="15">
      <c r="B15" s="92" t="s">
        <v>85</v>
      </c>
      <c r="C15" s="93"/>
      <c r="D15" s="93"/>
      <c r="E15" s="156"/>
      <c r="F15" s="154"/>
      <c r="G15" s="154"/>
      <c r="H15" s="154"/>
      <c r="I15" s="155"/>
      <c r="J15" s="156"/>
      <c r="K15" s="154"/>
      <c r="L15" s="154"/>
      <c r="M15" s="154"/>
      <c r="N15" s="154"/>
      <c r="O15" s="155"/>
      <c r="P15" s="157"/>
      <c r="Q15" s="158"/>
      <c r="R15" s="158"/>
      <c r="S15" s="159"/>
      <c r="T15" s="156"/>
      <c r="U15" s="154"/>
      <c r="V15" s="154"/>
      <c r="W15" s="154"/>
      <c r="X15" s="155"/>
      <c r="Y15" s="156"/>
      <c r="Z15" s="154"/>
      <c r="AA15" s="154"/>
      <c r="AB15" s="154"/>
      <c r="AC15" s="155"/>
      <c r="AD15" s="101">
        <v>56.8</v>
      </c>
      <c r="AE15" s="102"/>
      <c r="AF15" s="97" t="str">
        <f t="shared" si="1"/>
        <v>56.8</v>
      </c>
      <c r="AG15" s="101"/>
      <c r="AH15" s="102"/>
      <c r="AI15" s="97" t="str">
        <f t="shared" si="2"/>
        <v>0</v>
      </c>
      <c r="AJ15" s="101"/>
      <c r="AK15" s="102"/>
      <c r="AL15" s="102"/>
      <c r="AM15" s="103"/>
      <c r="AN15" s="97" t="str">
        <f t="shared" si="3"/>
        <v>0</v>
      </c>
      <c r="AO15" s="101"/>
      <c r="AP15" s="102"/>
      <c r="AQ15" s="102"/>
      <c r="AR15" s="103"/>
      <c r="AS15" s="97" t="str">
        <f t="shared" si="4"/>
        <v>0</v>
      </c>
    </row>
    <row r="16">
      <c r="B16" s="92" t="s">
        <v>86</v>
      </c>
      <c r="C16" s="93"/>
      <c r="D16" s="93"/>
      <c r="E16" s="156"/>
      <c r="F16" s="154"/>
      <c r="G16" s="154"/>
      <c r="H16" s="154"/>
      <c r="I16" s="155"/>
      <c r="J16" s="156"/>
      <c r="K16" s="154"/>
      <c r="L16" s="154"/>
      <c r="M16" s="154"/>
      <c r="N16" s="154"/>
      <c r="O16" s="155"/>
      <c r="P16" s="160"/>
      <c r="Q16" s="151"/>
      <c r="R16" s="151"/>
      <c r="S16" s="152"/>
      <c r="T16" s="156"/>
      <c r="U16" s="154"/>
      <c r="V16" s="154"/>
      <c r="W16" s="154"/>
      <c r="X16" s="155"/>
      <c r="Y16" s="156"/>
      <c r="Z16" s="154"/>
      <c r="AA16" s="154"/>
      <c r="AB16" s="154"/>
      <c r="AC16" s="155"/>
      <c r="AD16" s="101">
        <v>0.0</v>
      </c>
      <c r="AE16" s="102"/>
      <c r="AF16" s="97" t="str">
        <f t="shared" si="1"/>
        <v>0</v>
      </c>
      <c r="AG16" s="101"/>
      <c r="AH16" s="102"/>
      <c r="AI16" s="97" t="str">
        <f t="shared" si="2"/>
        <v>0</v>
      </c>
      <c r="AJ16" s="101"/>
      <c r="AK16" s="102"/>
      <c r="AL16" s="102"/>
      <c r="AM16" s="103"/>
      <c r="AN16" s="97" t="str">
        <f t="shared" si="3"/>
        <v>0</v>
      </c>
      <c r="AO16" s="101"/>
      <c r="AP16" s="102"/>
      <c r="AQ16" s="102"/>
      <c r="AR16" s="103"/>
      <c r="AS16" s="97" t="str">
        <f t="shared" si="4"/>
        <v>0</v>
      </c>
    </row>
    <row r="17">
      <c r="B17" s="104" t="s">
        <v>87</v>
      </c>
      <c r="C17" s="105"/>
      <c r="D17" s="105"/>
      <c r="E17" s="161"/>
      <c r="F17" s="154"/>
      <c r="G17" s="154"/>
      <c r="H17" s="154"/>
      <c r="I17" s="155"/>
      <c r="J17" s="161"/>
      <c r="K17" s="154"/>
      <c r="L17" s="154"/>
      <c r="M17" s="154"/>
      <c r="N17" s="154"/>
      <c r="O17" s="155"/>
      <c r="P17" s="161"/>
      <c r="Q17" s="154"/>
      <c r="R17" s="154"/>
      <c r="S17" s="155"/>
      <c r="T17" s="161"/>
      <c r="U17" s="154"/>
      <c r="V17" s="154"/>
      <c r="W17" s="154"/>
      <c r="X17" s="155"/>
      <c r="Y17" s="161"/>
      <c r="Z17" s="154"/>
      <c r="AA17" s="154"/>
      <c r="AB17" s="154"/>
      <c r="AC17" s="155"/>
      <c r="AD17" s="113">
        <v>15.0</v>
      </c>
      <c r="AE17" s="114"/>
      <c r="AF17" s="109" t="str">
        <f t="shared" si="1"/>
        <v>15</v>
      </c>
      <c r="AG17" s="113"/>
      <c r="AH17" s="114"/>
      <c r="AI17" s="109" t="str">
        <f t="shared" si="2"/>
        <v>0</v>
      </c>
      <c r="AJ17" s="113"/>
      <c r="AK17" s="114"/>
      <c r="AL17" s="114"/>
      <c r="AM17" s="115"/>
      <c r="AN17" s="109" t="str">
        <f t="shared" si="3"/>
        <v>0</v>
      </c>
      <c r="AO17" s="113"/>
      <c r="AP17" s="114"/>
      <c r="AQ17" s="114"/>
      <c r="AR17" s="115"/>
      <c r="AS17" s="109" t="str">
        <f t="shared" si="4"/>
        <v>0</v>
      </c>
    </row>
    <row r="18">
      <c r="B18" s="104" t="s">
        <v>88</v>
      </c>
      <c r="C18" s="105"/>
      <c r="D18" s="105"/>
      <c r="E18" s="161"/>
      <c r="F18" s="154"/>
      <c r="G18" s="154"/>
      <c r="H18" s="154"/>
      <c r="I18" s="155"/>
      <c r="J18" s="161"/>
      <c r="K18" s="154"/>
      <c r="L18" s="154"/>
      <c r="M18" s="154"/>
      <c r="N18" s="154"/>
      <c r="O18" s="155"/>
      <c r="P18" s="162"/>
      <c r="Q18" s="158"/>
      <c r="R18" s="158"/>
      <c r="S18" s="159"/>
      <c r="T18" s="161"/>
      <c r="U18" s="154"/>
      <c r="V18" s="154"/>
      <c r="W18" s="154"/>
      <c r="X18" s="155"/>
      <c r="Y18" s="161"/>
      <c r="Z18" s="154"/>
      <c r="AA18" s="154"/>
      <c r="AB18" s="154"/>
      <c r="AC18" s="155"/>
      <c r="AD18" s="113"/>
      <c r="AE18" s="114"/>
      <c r="AF18" s="163" t="str">
        <f t="shared" si="1"/>
        <v>0</v>
      </c>
      <c r="AG18" s="113"/>
      <c r="AH18" s="114"/>
      <c r="AI18" s="163" t="str">
        <f t="shared" si="2"/>
        <v>0</v>
      </c>
      <c r="AJ18" s="113"/>
      <c r="AK18" s="114"/>
      <c r="AL18" s="114"/>
      <c r="AM18" s="115"/>
      <c r="AN18" s="109" t="str">
        <f t="shared" si="3"/>
        <v>0</v>
      </c>
      <c r="AO18" s="113"/>
      <c r="AP18" s="114"/>
      <c r="AQ18" s="114"/>
      <c r="AR18" s="115"/>
      <c r="AS18" s="109" t="str">
        <f t="shared" si="4"/>
        <v>0</v>
      </c>
    </row>
    <row r="19">
      <c r="B19" s="116" t="s">
        <v>89</v>
      </c>
      <c r="C19" s="117"/>
      <c r="D19" s="117"/>
      <c r="E19" s="164"/>
      <c r="F19" s="154"/>
      <c r="G19" s="154"/>
      <c r="H19" s="154"/>
      <c r="I19" s="155"/>
      <c r="J19" s="165"/>
      <c r="K19" s="158"/>
      <c r="L19" s="158"/>
      <c r="M19" s="158"/>
      <c r="N19" s="158"/>
      <c r="O19" s="159"/>
      <c r="P19" s="160"/>
      <c r="Q19" s="151"/>
      <c r="R19" s="151"/>
      <c r="S19" s="152"/>
      <c r="T19" s="166"/>
      <c r="U19" s="158"/>
      <c r="V19" s="158"/>
      <c r="W19" s="158"/>
      <c r="X19" s="159"/>
      <c r="Y19" s="165"/>
      <c r="Z19" s="158"/>
      <c r="AA19" s="158"/>
      <c r="AB19" s="158"/>
      <c r="AC19" s="159"/>
      <c r="AD19" s="167"/>
      <c r="AE19" s="167"/>
      <c r="AF19" s="168">
        <v>0.0</v>
      </c>
      <c r="AG19" s="167"/>
      <c r="AH19" s="167"/>
      <c r="AI19" s="168" t="str">
        <f t="shared" si="2"/>
        <v>0</v>
      </c>
      <c r="AJ19" s="127"/>
      <c r="AK19" s="128"/>
      <c r="AL19" s="128"/>
      <c r="AM19" s="129"/>
      <c r="AN19" s="125" t="str">
        <f t="shared" si="3"/>
        <v>0</v>
      </c>
      <c r="AO19" s="127"/>
      <c r="AP19" s="128"/>
      <c r="AQ19" s="128"/>
      <c r="AR19" s="129"/>
      <c r="AS19" s="125" t="str">
        <f t="shared" si="4"/>
        <v>0</v>
      </c>
    </row>
    <row r="20">
      <c r="B20" s="116" t="s">
        <v>98</v>
      </c>
      <c r="C20" s="169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Q20" s="171"/>
      <c r="R20" s="171"/>
      <c r="S20" s="171"/>
      <c r="T20" s="172"/>
      <c r="U20" s="172"/>
      <c r="V20" s="172"/>
      <c r="W20" s="172"/>
      <c r="X20" s="172"/>
      <c r="Y20" s="170"/>
      <c r="Z20" s="170"/>
      <c r="AA20" s="170"/>
      <c r="AB20" s="170"/>
      <c r="AC20" s="170"/>
      <c r="AD20" s="167">
        <v>0.0</v>
      </c>
      <c r="AE20" s="167"/>
      <c r="AF20" s="168"/>
      <c r="AG20" s="167"/>
      <c r="AH20" s="167"/>
      <c r="AI20" s="168"/>
      <c r="AJ20" s="172"/>
      <c r="AK20" s="172"/>
      <c r="AL20" s="172"/>
      <c r="AM20" s="172"/>
      <c r="AN20" s="170"/>
      <c r="AO20" s="172"/>
      <c r="AP20" s="172"/>
      <c r="AQ20" s="172"/>
      <c r="AR20" s="172"/>
      <c r="AS20" s="170"/>
    </row>
    <row r="21" ht="15.75" customHeight="1">
      <c r="B21" s="130" t="s">
        <v>90</v>
      </c>
      <c r="C21" s="131" t="str">
        <f t="shared" ref="C21:D21" si="5">SUM(C13:C19)</f>
        <v>0</v>
      </c>
      <c r="D21" s="132" t="str">
        <f t="shared" si="5"/>
        <v>0</v>
      </c>
      <c r="E21" s="174"/>
      <c r="F21" s="175"/>
      <c r="G21" s="175"/>
      <c r="H21" s="175"/>
      <c r="I21" s="176"/>
      <c r="J21" s="133" t="str">
        <f>SUM(O13:O19)</f>
        <v>0</v>
      </c>
      <c r="K21" s="134"/>
      <c r="L21" s="134"/>
      <c r="M21" s="134"/>
      <c r="N21" s="134"/>
      <c r="O21" s="135"/>
      <c r="P21" s="133"/>
      <c r="Q21" s="134"/>
      <c r="R21" s="135"/>
      <c r="S21" s="136" t="str">
        <f>SUM(S13:S19)</f>
        <v>0</v>
      </c>
      <c r="T21" s="137"/>
      <c r="U21" s="134"/>
      <c r="V21" s="134"/>
      <c r="W21" s="135"/>
      <c r="X21" s="136" t="str">
        <f>SUM(X13:X19)</f>
        <v>0</v>
      </c>
      <c r="Y21" s="133"/>
      <c r="Z21" s="134"/>
      <c r="AA21" s="134"/>
      <c r="AB21" s="135"/>
      <c r="AC21" s="136" t="str">
        <f>SUM(AC13:AC19)</f>
        <v>0</v>
      </c>
      <c r="AD21" s="174"/>
      <c r="AE21" s="176"/>
      <c r="AF21" s="132" t="str">
        <f>SUM(AF13:AF19)</f>
        <v>298</v>
      </c>
      <c r="AG21" s="174"/>
      <c r="AH21" s="176"/>
      <c r="AI21" s="132" t="str">
        <f>SUM(AI13:AI19)</f>
        <v>0</v>
      </c>
      <c r="AJ21" s="133"/>
      <c r="AK21" s="134"/>
      <c r="AL21" s="134"/>
      <c r="AM21" s="135"/>
      <c r="AN21" s="136" t="str">
        <f>SUM(AN13:AN19)</f>
        <v>0</v>
      </c>
      <c r="AO21" s="133"/>
      <c r="AP21" s="134"/>
      <c r="AQ21" s="134"/>
      <c r="AR21" s="135"/>
      <c r="AS21" s="136" t="str">
        <f>SUM(AS13:AS19)</f>
        <v>0</v>
      </c>
    </row>
    <row r="22" ht="15.7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5.75" customHeight="1">
      <c r="A23" s="140" t="s">
        <v>92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4"/>
    </row>
    <row r="24" ht="15.75" customHeight="1"/>
    <row r="25" ht="15.75" customHeight="1">
      <c r="C25" s="140" t="s">
        <v>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4"/>
    </row>
    <row r="26" ht="15.75" customHeight="1">
      <c r="C26" s="140" t="s">
        <v>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4"/>
    </row>
    <row r="27" ht="15.75" customHeight="1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</row>
    <row r="28" ht="15.75" customHeight="1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3"/>
    </row>
    <row r="29" ht="15.75" customHeight="1">
      <c r="A29" s="144"/>
      <c r="AS29" s="145"/>
    </row>
    <row r="30" ht="15.75" customHeight="1">
      <c r="A30" s="144"/>
      <c r="AS30" s="145"/>
    </row>
    <row r="31" ht="15.75" customHeight="1">
      <c r="A31" s="144"/>
      <c r="AS31" s="145"/>
    </row>
    <row r="32" ht="15.75" customHeight="1">
      <c r="A32" s="144"/>
      <c r="AS32" s="145"/>
    </row>
    <row r="33" ht="15.75" customHeight="1">
      <c r="A33" s="144"/>
      <c r="AS33" s="145"/>
    </row>
    <row r="34" ht="15.75" customHeight="1">
      <c r="A34" s="144"/>
      <c r="AS34" s="145"/>
    </row>
    <row r="35" ht="15.75" customHeight="1">
      <c r="A35" s="144"/>
      <c r="AS35" s="145"/>
    </row>
    <row r="36" ht="15.75" customHeight="1">
      <c r="A36" s="144"/>
      <c r="AS36" s="145"/>
    </row>
    <row r="37" ht="15.75" customHeight="1">
      <c r="A37" s="144"/>
      <c r="AS37" s="145"/>
    </row>
    <row r="38" ht="15.75" customHeight="1">
      <c r="A38" s="144"/>
      <c r="AS38" s="145"/>
    </row>
    <row r="39" ht="15.75" customHeight="1">
      <c r="A39" s="144"/>
      <c r="AS39" s="145"/>
    </row>
    <row r="40" ht="15.75" customHeight="1">
      <c r="A40" s="144"/>
      <c r="AS40" s="145"/>
    </row>
    <row r="41" ht="15.75" customHeight="1">
      <c r="A41" s="144"/>
      <c r="AS41" s="145"/>
    </row>
    <row r="42" ht="15.75" customHeight="1">
      <c r="A42" s="144"/>
      <c r="AS42" s="145"/>
    </row>
    <row r="43" ht="15.75" customHeight="1">
      <c r="A43" s="144"/>
      <c r="AS43" s="145"/>
    </row>
    <row r="44" ht="15.75" customHeight="1">
      <c r="A44" s="144"/>
      <c r="AS44" s="145"/>
    </row>
    <row r="45" ht="15.75" customHeight="1">
      <c r="A45" s="144"/>
      <c r="AS45" s="145"/>
    </row>
    <row r="46" ht="15.75" customHeight="1">
      <c r="A46" s="144"/>
      <c r="AS46" s="145"/>
    </row>
    <row r="47" ht="15.75" customHeight="1">
      <c r="A47" s="144"/>
      <c r="AS47" s="145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</row>
    <row r="73" ht="15.75" customHeight="1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mergeCells count="63">
    <mergeCell ref="T19:X19"/>
    <mergeCell ref="Y19:AC19"/>
    <mergeCell ref="Y15:AC15"/>
    <mergeCell ref="Y16:AC16"/>
    <mergeCell ref="T17:X17"/>
    <mergeCell ref="T18:X18"/>
    <mergeCell ref="T21:W21"/>
    <mergeCell ref="T16:X16"/>
    <mergeCell ref="Y21:AB21"/>
    <mergeCell ref="T15:X15"/>
    <mergeCell ref="T13:X13"/>
    <mergeCell ref="Y13:AC13"/>
    <mergeCell ref="Y14:AC14"/>
    <mergeCell ref="T14:X14"/>
    <mergeCell ref="Y11:AC11"/>
    <mergeCell ref="AD11:AF11"/>
    <mergeCell ref="Y12:AC12"/>
    <mergeCell ref="AG11:AI11"/>
    <mergeCell ref="AJ11:AN11"/>
    <mergeCell ref="T11:X11"/>
    <mergeCell ref="T12:X12"/>
    <mergeCell ref="P11:S11"/>
    <mergeCell ref="P13:S13"/>
    <mergeCell ref="P12:S12"/>
    <mergeCell ref="E11:I11"/>
    <mergeCell ref="E12:I12"/>
    <mergeCell ref="J12:O12"/>
    <mergeCell ref="E13:I13"/>
    <mergeCell ref="J13:O13"/>
    <mergeCell ref="J14:O14"/>
    <mergeCell ref="J15:O15"/>
    <mergeCell ref="A1:AS7"/>
    <mergeCell ref="B9:B11"/>
    <mergeCell ref="C9:AS10"/>
    <mergeCell ref="J11:O11"/>
    <mergeCell ref="AO11:AS11"/>
    <mergeCell ref="E15:I15"/>
    <mergeCell ref="J18:O18"/>
    <mergeCell ref="J19:O19"/>
    <mergeCell ref="J16:O16"/>
    <mergeCell ref="J17:O17"/>
    <mergeCell ref="P17:S17"/>
    <mergeCell ref="P18:S19"/>
    <mergeCell ref="E14:I14"/>
    <mergeCell ref="E17:I17"/>
    <mergeCell ref="E18:I18"/>
    <mergeCell ref="E19:I19"/>
    <mergeCell ref="E21:I21"/>
    <mergeCell ref="P14:S14"/>
    <mergeCell ref="P15:S16"/>
    <mergeCell ref="E16:I16"/>
    <mergeCell ref="Y17:AC17"/>
    <mergeCell ref="Y18:AC18"/>
    <mergeCell ref="AG21:AH21"/>
    <mergeCell ref="AJ21:AM21"/>
    <mergeCell ref="J21:O21"/>
    <mergeCell ref="P21:R21"/>
    <mergeCell ref="A23:AQ23"/>
    <mergeCell ref="C25:AS25"/>
    <mergeCell ref="C26:AS26"/>
    <mergeCell ref="A28:AS48"/>
    <mergeCell ref="AD21:AE21"/>
    <mergeCell ref="AO21:AR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86"/>
    <col customWidth="1" min="3" max="3" width="10.71"/>
    <col customWidth="1" min="4" max="4" width="12.14"/>
    <col customWidth="1" min="5" max="5" width="11.0"/>
    <col customWidth="1" min="6" max="6" width="6.43"/>
    <col customWidth="1" min="7" max="7" width="4.14"/>
    <col customWidth="1" min="8" max="10" width="5.29"/>
    <col customWidth="1" min="11" max="11" width="6.86"/>
    <col customWidth="1" min="12" max="12" width="6.71"/>
    <col customWidth="1" min="13" max="13" width="5.57"/>
    <col customWidth="1" min="14" max="15" width="5.86"/>
    <col customWidth="1" min="16" max="16" width="6.86"/>
    <col customWidth="1" min="17" max="17" width="5.86"/>
    <col customWidth="1" min="18" max="18" width="6.14"/>
    <col customWidth="1" min="19" max="20" width="5.86"/>
    <col customWidth="1" min="21" max="21" width="6.86"/>
    <col customWidth="1" min="22" max="23" width="6.0"/>
    <col customWidth="1" min="24" max="25" width="5.86"/>
    <col customWidth="1" min="26" max="26" width="6.86"/>
    <col customWidth="1" min="27" max="27" width="5.86"/>
    <col customWidth="1" min="28" max="28" width="6.43"/>
    <col customWidth="1" min="29" max="29" width="5.86"/>
    <col customWidth="1" min="30" max="30" width="6.0"/>
    <col customWidth="1" min="31" max="31" width="6.86"/>
    <col customWidth="1" min="32" max="32" width="6.57"/>
    <col customWidth="1" min="33" max="33" width="6.14"/>
    <col customWidth="1" min="34" max="35" width="6.57"/>
    <col customWidth="1" min="36" max="36" width="6.86"/>
    <col customWidth="1" min="37" max="37" width="6.0"/>
    <col customWidth="1" min="38" max="38" width="5.86"/>
    <col customWidth="1" min="39" max="40" width="6.0"/>
    <col customWidth="1" min="41" max="42" width="6.86"/>
    <col customWidth="1" min="43" max="43" width="7.0"/>
    <col customWidth="1" min="44" max="44" width="6.57"/>
    <col customWidth="1" min="45" max="45" width="6.71"/>
    <col customWidth="1" min="46" max="46" width="6.86"/>
    <col customWidth="1" min="47" max="47" width="6.14"/>
    <col customWidth="1" min="48" max="48" width="6.0"/>
    <col customWidth="1" min="49" max="49" width="5.86"/>
    <col customWidth="1" min="50" max="50" width="7.14"/>
    <col customWidth="1" min="51" max="51" width="6.86"/>
  </cols>
  <sheetData>
    <row r="8">
      <c r="B8" s="53" t="s">
        <v>58</v>
      </c>
      <c r="C8" s="54" t="s">
        <v>106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</row>
    <row r="9">
      <c r="B9" s="57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60"/>
    </row>
    <row r="10">
      <c r="B10" s="61"/>
      <c r="C10" s="62" t="s">
        <v>60</v>
      </c>
      <c r="D10" s="62" t="s">
        <v>61</v>
      </c>
      <c r="E10" s="62" t="s">
        <v>62</v>
      </c>
      <c r="F10" s="63" t="s">
        <v>63</v>
      </c>
      <c r="G10" s="64"/>
      <c r="H10" s="64"/>
      <c r="I10" s="64"/>
      <c r="J10" s="64"/>
      <c r="K10" s="25"/>
      <c r="L10" s="63" t="s">
        <v>64</v>
      </c>
      <c r="M10" s="64"/>
      <c r="N10" s="64"/>
      <c r="O10" s="64"/>
      <c r="P10" s="25"/>
      <c r="Q10" s="63" t="s">
        <v>65</v>
      </c>
      <c r="R10" s="64"/>
      <c r="S10" s="64"/>
      <c r="T10" s="64"/>
      <c r="U10" s="25"/>
      <c r="V10" s="63" t="s">
        <v>66</v>
      </c>
      <c r="W10" s="64"/>
      <c r="X10" s="64"/>
      <c r="Y10" s="64"/>
      <c r="Z10" s="25"/>
      <c r="AA10" s="63" t="s">
        <v>67</v>
      </c>
      <c r="AB10" s="64"/>
      <c r="AC10" s="64"/>
      <c r="AD10" s="64"/>
      <c r="AE10" s="25"/>
      <c r="AF10" s="63" t="s">
        <v>68</v>
      </c>
      <c r="AG10" s="64"/>
      <c r="AH10" s="64"/>
      <c r="AI10" s="64"/>
      <c r="AJ10" s="25"/>
      <c r="AK10" s="63" t="s">
        <v>69</v>
      </c>
      <c r="AL10" s="64"/>
      <c r="AM10" s="64"/>
      <c r="AN10" s="64"/>
      <c r="AO10" s="25"/>
      <c r="AP10" s="63" t="s">
        <v>70</v>
      </c>
      <c r="AQ10" s="64"/>
      <c r="AR10" s="64"/>
      <c r="AS10" s="64"/>
      <c r="AT10" s="25"/>
      <c r="AU10" s="63" t="s">
        <v>71</v>
      </c>
      <c r="AV10" s="64"/>
      <c r="AW10" s="64"/>
      <c r="AX10" s="64"/>
      <c r="AY10" s="25"/>
    </row>
    <row r="11">
      <c r="B11" s="65" t="s">
        <v>72</v>
      </c>
      <c r="C11" s="177"/>
      <c r="D11" s="66"/>
      <c r="E11" s="66"/>
      <c r="F11" s="67">
        <v>44228.0</v>
      </c>
      <c r="G11" s="67">
        <v>44441.0</v>
      </c>
      <c r="H11" s="66" t="s">
        <v>77</v>
      </c>
      <c r="I11" s="66" t="s">
        <v>78</v>
      </c>
      <c r="J11" s="66" t="s">
        <v>79</v>
      </c>
      <c r="K11" s="66" t="s">
        <v>37</v>
      </c>
      <c r="L11" s="67">
        <v>44378.0</v>
      </c>
      <c r="M11" s="66" t="s">
        <v>107</v>
      </c>
      <c r="N11" s="66" t="s">
        <v>108</v>
      </c>
      <c r="O11" s="66" t="s">
        <v>109</v>
      </c>
      <c r="P11" s="66" t="s">
        <v>37</v>
      </c>
      <c r="Q11" s="67">
        <v>44287.0</v>
      </c>
      <c r="R11" s="67">
        <v>44502.0</v>
      </c>
      <c r="S11" s="66" t="s">
        <v>80</v>
      </c>
      <c r="T11" s="66" t="s">
        <v>81</v>
      </c>
      <c r="U11" s="66" t="s">
        <v>37</v>
      </c>
      <c r="V11" s="66">
        <v>1.0</v>
      </c>
      <c r="W11" s="66">
        <v>2.0</v>
      </c>
      <c r="X11" s="66">
        <v>3.0</v>
      </c>
      <c r="Y11" s="66">
        <v>4.0</v>
      </c>
      <c r="Z11" s="66" t="s">
        <v>37</v>
      </c>
      <c r="AA11" s="66">
        <v>1.0</v>
      </c>
      <c r="AB11" s="66">
        <v>2.0</v>
      </c>
      <c r="AC11" s="66">
        <v>3.0</v>
      </c>
      <c r="AD11" s="66">
        <v>4.0</v>
      </c>
      <c r="AE11" s="66" t="s">
        <v>37</v>
      </c>
      <c r="AF11" s="66">
        <v>1.0</v>
      </c>
      <c r="AG11" s="66">
        <v>2.0</v>
      </c>
      <c r="AH11" s="66">
        <v>3.0</v>
      </c>
      <c r="AI11" s="66">
        <v>4.0</v>
      </c>
      <c r="AJ11" s="66" t="s">
        <v>37</v>
      </c>
      <c r="AK11" s="66">
        <v>1.0</v>
      </c>
      <c r="AL11" s="66">
        <v>2.0</v>
      </c>
      <c r="AM11" s="66">
        <v>3.0</v>
      </c>
      <c r="AN11" s="66">
        <v>4.0</v>
      </c>
      <c r="AO11" s="66" t="s">
        <v>37</v>
      </c>
      <c r="AP11" s="66">
        <v>1.0</v>
      </c>
      <c r="AQ11" s="66">
        <v>2.0</v>
      </c>
      <c r="AR11" s="66">
        <v>3.0</v>
      </c>
      <c r="AS11" s="66">
        <v>4.0</v>
      </c>
      <c r="AT11" s="66" t="s">
        <v>37</v>
      </c>
      <c r="AU11" s="66">
        <v>1.0</v>
      </c>
      <c r="AV11" s="66">
        <v>2.0</v>
      </c>
      <c r="AW11" s="66">
        <v>3.0</v>
      </c>
      <c r="AX11" s="66">
        <v>4.0</v>
      </c>
      <c r="AY11" s="66" t="s">
        <v>37</v>
      </c>
    </row>
    <row r="12">
      <c r="B12" s="68" t="s">
        <v>110</v>
      </c>
      <c r="C12" s="178">
        <v>70.0</v>
      </c>
      <c r="D12" s="179">
        <v>59.0</v>
      </c>
      <c r="E12" s="179">
        <v>61.0</v>
      </c>
      <c r="F12" s="70">
        <v>15.0</v>
      </c>
      <c r="G12" s="71"/>
      <c r="H12" s="71">
        <v>30.0</v>
      </c>
      <c r="I12" s="71">
        <v>20.0</v>
      </c>
      <c r="J12" s="72">
        <v>20.0</v>
      </c>
      <c r="K12" s="73" t="str">
        <f t="shared" ref="K12:K14" si="1">SUM(F12:J12)</f>
        <v>85</v>
      </c>
      <c r="L12" s="70">
        <v>10.0</v>
      </c>
      <c r="M12" s="71">
        <v>20.0</v>
      </c>
      <c r="N12" s="71">
        <v>15.0</v>
      </c>
      <c r="O12" s="72">
        <v>18.0</v>
      </c>
      <c r="P12" s="73" t="str">
        <f t="shared" ref="P12:P18" si="2">SUM(L12:O12)</f>
        <v>63</v>
      </c>
      <c r="Q12" s="70">
        <v>12.0</v>
      </c>
      <c r="R12" s="71">
        <v>7.0</v>
      </c>
      <c r="S12" s="71">
        <v>12.0</v>
      </c>
      <c r="T12" s="72">
        <v>8.0</v>
      </c>
      <c r="U12" s="73" t="str">
        <f t="shared" ref="U12:U18" si="3">SUM(Q12:T12)</f>
        <v>39</v>
      </c>
      <c r="V12" s="74">
        <v>20.0</v>
      </c>
      <c r="W12" s="75">
        <v>18.0</v>
      </c>
      <c r="X12" s="75">
        <v>0.0</v>
      </c>
      <c r="Y12" s="72">
        <v>15.0</v>
      </c>
      <c r="Z12" s="180" t="str">
        <f t="shared" ref="Z12:Z17" si="4">SUM(V12:Y12)</f>
        <v>53</v>
      </c>
      <c r="AA12" s="70">
        <v>18.0</v>
      </c>
      <c r="AB12" s="71">
        <v>18.0</v>
      </c>
      <c r="AC12" s="71">
        <v>22.0</v>
      </c>
      <c r="AD12" s="72"/>
      <c r="AE12" s="180" t="str">
        <f t="shared" ref="AE12:AE18" si="5">SUM(AA12:AD12)</f>
        <v>58</v>
      </c>
      <c r="AF12" s="74"/>
      <c r="AG12" s="75"/>
      <c r="AH12" s="75"/>
      <c r="AI12" s="76"/>
      <c r="AJ12" s="180" t="str">
        <f t="shared" ref="AJ12:AJ18" si="6">SUM(AF12:AI12)</f>
        <v>0</v>
      </c>
      <c r="AK12" s="74"/>
      <c r="AL12" s="75"/>
      <c r="AM12" s="75"/>
      <c r="AN12" s="76"/>
      <c r="AO12" s="180" t="str">
        <f t="shared" ref="AO12:AO18" si="7">SUM(AK12:AN12)</f>
        <v>0</v>
      </c>
      <c r="AP12" s="74"/>
      <c r="AQ12" s="75"/>
      <c r="AR12" s="75"/>
      <c r="AS12" s="76"/>
      <c r="AT12" s="180" t="str">
        <f t="shared" ref="AT12:AT18" si="8">SUM(AP12:AS12)</f>
        <v>0</v>
      </c>
      <c r="AU12" s="74"/>
      <c r="AV12" s="75"/>
      <c r="AW12" s="75"/>
      <c r="AX12" s="76"/>
      <c r="AY12" s="180" t="str">
        <f t="shared" ref="AY12:AY18" si="9">SUM(AU12:AX12)</f>
        <v>0</v>
      </c>
    </row>
    <row r="13">
      <c r="B13" s="80" t="s">
        <v>111</v>
      </c>
      <c r="C13" s="181">
        <v>35.0</v>
      </c>
      <c r="D13" s="182">
        <v>43.0</v>
      </c>
      <c r="E13" s="182">
        <v>39.0</v>
      </c>
      <c r="F13" s="82">
        <v>5.0</v>
      </c>
      <c r="G13" s="83">
        <v>3.0</v>
      </c>
      <c r="H13" s="83">
        <v>6.0</v>
      </c>
      <c r="I13" s="83">
        <v>8.0</v>
      </c>
      <c r="J13" s="84">
        <v>2.0</v>
      </c>
      <c r="K13" s="85" t="str">
        <f t="shared" si="1"/>
        <v>24</v>
      </c>
      <c r="L13" s="82">
        <v>7.0</v>
      </c>
      <c r="M13" s="83">
        <v>8.0</v>
      </c>
      <c r="N13" s="83">
        <v>5.0</v>
      </c>
      <c r="O13" s="84">
        <v>7.0</v>
      </c>
      <c r="P13" s="85" t="str">
        <f t="shared" si="2"/>
        <v>27</v>
      </c>
      <c r="Q13" s="82">
        <v>9.0</v>
      </c>
      <c r="R13" s="83">
        <v>4.0</v>
      </c>
      <c r="S13" s="83"/>
      <c r="T13" s="84">
        <v>5.0</v>
      </c>
      <c r="U13" s="85" t="str">
        <f t="shared" si="3"/>
        <v>18</v>
      </c>
      <c r="V13" s="86">
        <v>40.0</v>
      </c>
      <c r="W13" s="87" t="s">
        <v>83</v>
      </c>
      <c r="X13" s="87">
        <v>25.0</v>
      </c>
      <c r="Y13" s="88">
        <v>20.0</v>
      </c>
      <c r="Z13" s="183" t="str">
        <f t="shared" si="4"/>
        <v>85</v>
      </c>
      <c r="AA13" s="82">
        <v>40.0</v>
      </c>
      <c r="AB13" s="83">
        <v>20.0</v>
      </c>
      <c r="AC13" s="83">
        <v>40.0</v>
      </c>
      <c r="AD13" s="84"/>
      <c r="AE13" s="183" t="str">
        <f t="shared" si="5"/>
        <v>100</v>
      </c>
      <c r="AF13" s="86"/>
      <c r="AG13" s="87"/>
      <c r="AH13" s="87"/>
      <c r="AI13" s="88"/>
      <c r="AJ13" s="183" t="str">
        <f t="shared" si="6"/>
        <v>0</v>
      </c>
      <c r="AK13" s="86"/>
      <c r="AL13" s="87"/>
      <c r="AM13" s="87"/>
      <c r="AN13" s="88"/>
      <c r="AO13" s="183" t="str">
        <f t="shared" si="7"/>
        <v>0</v>
      </c>
      <c r="AP13" s="86"/>
      <c r="AQ13" s="87"/>
      <c r="AR13" s="87"/>
      <c r="AS13" s="88"/>
      <c r="AT13" s="183" t="str">
        <f t="shared" si="8"/>
        <v>0</v>
      </c>
      <c r="AU13" s="86"/>
      <c r="AV13" s="87"/>
      <c r="AW13" s="87"/>
      <c r="AX13" s="88"/>
      <c r="AY13" s="183" t="str">
        <f t="shared" si="9"/>
        <v>0</v>
      </c>
    </row>
    <row r="14">
      <c r="B14" s="184" t="s">
        <v>112</v>
      </c>
      <c r="C14" s="185">
        <v>110.0</v>
      </c>
      <c r="D14" s="186">
        <v>210.0</v>
      </c>
      <c r="E14" s="186">
        <v>200.0</v>
      </c>
      <c r="F14" s="187">
        <v>40.0</v>
      </c>
      <c r="G14" s="188">
        <v>37.0</v>
      </c>
      <c r="H14" s="188">
        <v>43.0</v>
      </c>
      <c r="I14" s="188">
        <v>16.0</v>
      </c>
      <c r="J14" s="189">
        <v>42.0</v>
      </c>
      <c r="K14" s="190" t="str">
        <f t="shared" si="1"/>
        <v>178</v>
      </c>
      <c r="L14" s="187">
        <v>80.0</v>
      </c>
      <c r="M14" s="188">
        <v>40.0</v>
      </c>
      <c r="N14" s="188">
        <v>33.0</v>
      </c>
      <c r="O14" s="189">
        <v>35.0</v>
      </c>
      <c r="P14" s="190" t="str">
        <f t="shared" si="2"/>
        <v>188</v>
      </c>
      <c r="Q14" s="187">
        <v>45.0</v>
      </c>
      <c r="R14" s="188">
        <v>54.0</v>
      </c>
      <c r="S14" s="188">
        <v>35.0</v>
      </c>
      <c r="T14" s="189">
        <v>18.0</v>
      </c>
      <c r="U14" s="190" t="str">
        <f t="shared" si="3"/>
        <v>152</v>
      </c>
      <c r="V14" s="191">
        <v>35.0</v>
      </c>
      <c r="W14" s="192">
        <v>40.0</v>
      </c>
      <c r="X14" s="192">
        <v>80.0</v>
      </c>
      <c r="Y14" s="193">
        <v>40.0</v>
      </c>
      <c r="Z14" s="194" t="str">
        <f t="shared" si="4"/>
        <v>195</v>
      </c>
      <c r="AA14" s="187">
        <v>80.0</v>
      </c>
      <c r="AB14" s="188">
        <v>40.0</v>
      </c>
      <c r="AC14" s="188">
        <v>20.0</v>
      </c>
      <c r="AD14" s="189"/>
      <c r="AE14" s="194" t="str">
        <f t="shared" si="5"/>
        <v>140</v>
      </c>
      <c r="AF14" s="191"/>
      <c r="AG14" s="192"/>
      <c r="AH14" s="192"/>
      <c r="AI14" s="193"/>
      <c r="AJ14" s="194" t="str">
        <f t="shared" si="6"/>
        <v>0</v>
      </c>
      <c r="AK14" s="191"/>
      <c r="AL14" s="192"/>
      <c r="AM14" s="192"/>
      <c r="AN14" s="193"/>
      <c r="AO14" s="194" t="str">
        <f t="shared" si="7"/>
        <v>0</v>
      </c>
      <c r="AP14" s="191"/>
      <c r="AQ14" s="192"/>
      <c r="AR14" s="192"/>
      <c r="AS14" s="193"/>
      <c r="AT14" s="194" t="str">
        <f t="shared" si="8"/>
        <v>0</v>
      </c>
      <c r="AU14" s="191"/>
      <c r="AV14" s="192"/>
      <c r="AW14" s="192"/>
      <c r="AX14" s="193"/>
      <c r="AY14" s="194" t="str">
        <f t="shared" si="9"/>
        <v>0</v>
      </c>
    </row>
    <row r="15">
      <c r="B15" s="184" t="s">
        <v>113</v>
      </c>
      <c r="C15" s="185" t="s">
        <v>73</v>
      </c>
      <c r="D15" s="186">
        <v>7.0</v>
      </c>
      <c r="E15" s="186"/>
      <c r="F15" s="187"/>
      <c r="G15" s="188">
        <v>27.0</v>
      </c>
      <c r="H15" s="188"/>
      <c r="I15" s="188"/>
      <c r="J15" s="189"/>
      <c r="K15" s="190" t="str">
        <f>SUM(F15:I15)</f>
        <v>27</v>
      </c>
      <c r="L15" s="187">
        <v>40.0</v>
      </c>
      <c r="M15" s="188"/>
      <c r="N15" s="188"/>
      <c r="O15" s="189"/>
      <c r="P15" s="190" t="str">
        <f t="shared" si="2"/>
        <v>40</v>
      </c>
      <c r="Q15" s="187"/>
      <c r="R15" s="188"/>
      <c r="S15" s="188"/>
      <c r="T15" s="189"/>
      <c r="U15" s="190" t="str">
        <f t="shared" si="3"/>
        <v>0</v>
      </c>
      <c r="V15" s="191">
        <v>0.0</v>
      </c>
      <c r="W15" s="192">
        <v>0.0</v>
      </c>
      <c r="X15" s="192">
        <v>0.0</v>
      </c>
      <c r="Y15" s="193">
        <v>0.0</v>
      </c>
      <c r="Z15" s="194" t="str">
        <f t="shared" si="4"/>
        <v>0</v>
      </c>
      <c r="AA15" s="187">
        <v>0.0</v>
      </c>
      <c r="AB15" s="188">
        <v>0.0</v>
      </c>
      <c r="AC15" s="188">
        <v>0.0</v>
      </c>
      <c r="AD15" s="189"/>
      <c r="AE15" s="194" t="str">
        <f t="shared" si="5"/>
        <v>0</v>
      </c>
      <c r="AF15" s="191"/>
      <c r="AG15" s="192"/>
      <c r="AH15" s="192"/>
      <c r="AI15" s="193"/>
      <c r="AJ15" s="194" t="str">
        <f t="shared" si="6"/>
        <v>0</v>
      </c>
      <c r="AK15" s="191"/>
      <c r="AL15" s="192"/>
      <c r="AM15" s="192"/>
      <c r="AN15" s="193"/>
      <c r="AO15" s="194" t="str">
        <f t="shared" si="7"/>
        <v>0</v>
      </c>
      <c r="AP15" s="191"/>
      <c r="AQ15" s="192"/>
      <c r="AR15" s="192"/>
      <c r="AS15" s="193"/>
      <c r="AT15" s="194" t="str">
        <f t="shared" si="8"/>
        <v>0</v>
      </c>
      <c r="AU15" s="191"/>
      <c r="AV15" s="192"/>
      <c r="AW15" s="192"/>
      <c r="AX15" s="193"/>
      <c r="AY15" s="194" t="str">
        <f t="shared" si="9"/>
        <v>0</v>
      </c>
    </row>
    <row r="16">
      <c r="B16" s="104" t="s">
        <v>114</v>
      </c>
      <c r="C16" s="195">
        <v>15.0</v>
      </c>
      <c r="D16" s="196"/>
      <c r="E16" s="197">
        <v>7.0</v>
      </c>
      <c r="F16" s="198">
        <v>2.0</v>
      </c>
      <c r="G16" s="199"/>
      <c r="H16" s="199">
        <v>3.0</v>
      </c>
      <c r="I16" s="199"/>
      <c r="J16" s="200">
        <v>4.0</v>
      </c>
      <c r="K16" s="109" t="str">
        <f>SUM(F16:J16)</f>
        <v>9</v>
      </c>
      <c r="L16" s="106">
        <v>2.0</v>
      </c>
      <c r="M16" s="107">
        <v>5.0</v>
      </c>
      <c r="N16" s="107">
        <v>2.0</v>
      </c>
      <c r="O16" s="108">
        <v>3.0</v>
      </c>
      <c r="P16" s="109" t="str">
        <f t="shared" si="2"/>
        <v>12</v>
      </c>
      <c r="Q16" s="106">
        <v>3.0</v>
      </c>
      <c r="R16" s="107"/>
      <c r="S16" s="107">
        <v>4.0</v>
      </c>
      <c r="T16" s="108"/>
      <c r="U16" s="109" t="str">
        <f t="shared" si="3"/>
        <v>7</v>
      </c>
      <c r="V16" s="110">
        <v>10.0</v>
      </c>
      <c r="W16" s="111">
        <v>5.0</v>
      </c>
      <c r="X16" s="111">
        <v>5.0</v>
      </c>
      <c r="Y16" s="112">
        <v>5.0</v>
      </c>
      <c r="Z16" s="201" t="str">
        <f t="shared" si="4"/>
        <v>25</v>
      </c>
      <c r="AA16" s="106">
        <v>10.0</v>
      </c>
      <c r="AB16" s="107">
        <v>10.0</v>
      </c>
      <c r="AC16" s="107">
        <v>25.0</v>
      </c>
      <c r="AD16" s="108"/>
      <c r="AE16" s="201" t="str">
        <f t="shared" si="5"/>
        <v>45</v>
      </c>
      <c r="AF16" s="110"/>
      <c r="AG16" s="111"/>
      <c r="AH16" s="111"/>
      <c r="AI16" s="112"/>
      <c r="AJ16" s="201" t="str">
        <f t="shared" si="6"/>
        <v>0</v>
      </c>
      <c r="AK16" s="110"/>
      <c r="AL16" s="111"/>
      <c r="AM16" s="111"/>
      <c r="AN16" s="112"/>
      <c r="AO16" s="201" t="str">
        <f t="shared" si="7"/>
        <v>0</v>
      </c>
      <c r="AP16" s="110"/>
      <c r="AQ16" s="111"/>
      <c r="AR16" s="111"/>
      <c r="AS16" s="112"/>
      <c r="AT16" s="201" t="str">
        <f t="shared" si="8"/>
        <v>0</v>
      </c>
      <c r="AU16" s="110"/>
      <c r="AV16" s="111"/>
      <c r="AW16" s="111"/>
      <c r="AX16" s="112"/>
      <c r="AY16" s="201" t="str">
        <f t="shared" si="9"/>
        <v>0</v>
      </c>
    </row>
    <row r="17">
      <c r="B17" s="104" t="s">
        <v>115</v>
      </c>
      <c r="C17" s="105" t="s">
        <v>73</v>
      </c>
      <c r="D17" s="197" t="s">
        <v>73</v>
      </c>
      <c r="E17" s="202"/>
      <c r="F17" s="107"/>
      <c r="G17" s="107"/>
      <c r="H17" s="107"/>
      <c r="I17" s="107"/>
      <c r="J17" s="108"/>
      <c r="K17" s="109" t="str">
        <f>SUM(F17:I17)</f>
        <v>0</v>
      </c>
      <c r="L17" s="106"/>
      <c r="M17" s="107"/>
      <c r="N17" s="107"/>
      <c r="O17" s="108"/>
      <c r="P17" s="109" t="str">
        <f t="shared" si="2"/>
        <v>0</v>
      </c>
      <c r="Q17" s="106"/>
      <c r="R17" s="107"/>
      <c r="S17" s="107"/>
      <c r="T17" s="108"/>
      <c r="U17" s="109" t="str">
        <f t="shared" si="3"/>
        <v>0</v>
      </c>
      <c r="V17" s="110"/>
      <c r="W17" s="111"/>
      <c r="X17" s="111"/>
      <c r="Y17" s="112"/>
      <c r="Z17" s="201" t="str">
        <f t="shared" si="4"/>
        <v>0</v>
      </c>
      <c r="AA17" s="106"/>
      <c r="AB17" s="107"/>
      <c r="AC17" s="107"/>
      <c r="AD17" s="108"/>
      <c r="AE17" s="201" t="str">
        <f t="shared" si="5"/>
        <v>0</v>
      </c>
      <c r="AF17" s="110"/>
      <c r="AG17" s="111"/>
      <c r="AH17" s="111"/>
      <c r="AI17" s="112"/>
      <c r="AJ17" s="201" t="str">
        <f t="shared" si="6"/>
        <v>0</v>
      </c>
      <c r="AK17" s="110"/>
      <c r="AL17" s="111"/>
      <c r="AM17" s="111"/>
      <c r="AN17" s="112"/>
      <c r="AO17" s="201" t="str">
        <f t="shared" si="7"/>
        <v>0</v>
      </c>
      <c r="AP17" s="110"/>
      <c r="AQ17" s="111"/>
      <c r="AR17" s="111"/>
      <c r="AS17" s="112"/>
      <c r="AT17" s="201" t="str">
        <f t="shared" si="8"/>
        <v>0</v>
      </c>
      <c r="AU17" s="110"/>
      <c r="AV17" s="111"/>
      <c r="AW17" s="111"/>
      <c r="AX17" s="112"/>
      <c r="AY17" s="201" t="str">
        <f t="shared" si="9"/>
        <v>0</v>
      </c>
    </row>
    <row r="18">
      <c r="B18" s="116" t="s">
        <v>116</v>
      </c>
      <c r="C18" s="117"/>
      <c r="D18" s="203"/>
      <c r="E18" s="204"/>
      <c r="F18" s="119"/>
      <c r="G18" s="119"/>
      <c r="H18" s="119"/>
      <c r="I18" s="119"/>
      <c r="J18" s="120"/>
      <c r="K18" s="121" t="str">
        <f>SUM(F18:J18)</f>
        <v>0</v>
      </c>
      <c r="L18" s="118"/>
      <c r="M18" s="119"/>
      <c r="N18" s="119"/>
      <c r="O18" s="120"/>
      <c r="P18" s="121" t="str">
        <f t="shared" si="2"/>
        <v>0</v>
      </c>
      <c r="Q18" s="118"/>
      <c r="R18" s="119"/>
      <c r="S18" s="119"/>
      <c r="T18" s="120"/>
      <c r="U18" s="121" t="str">
        <f t="shared" si="3"/>
        <v>0</v>
      </c>
      <c r="V18" s="122"/>
      <c r="W18" s="123"/>
      <c r="X18" s="123"/>
      <c r="Y18" s="124"/>
      <c r="Z18" s="205"/>
      <c r="AA18" s="118"/>
      <c r="AB18" s="119"/>
      <c r="AC18" s="119"/>
      <c r="AD18" s="120"/>
      <c r="AE18" s="205" t="str">
        <f t="shared" si="5"/>
        <v>0</v>
      </c>
      <c r="AF18" s="122"/>
      <c r="AG18" s="123"/>
      <c r="AH18" s="123"/>
      <c r="AI18" s="124"/>
      <c r="AJ18" s="205" t="str">
        <f t="shared" si="6"/>
        <v>0</v>
      </c>
      <c r="AK18" s="122"/>
      <c r="AL18" s="123"/>
      <c r="AM18" s="123"/>
      <c r="AN18" s="124"/>
      <c r="AO18" s="205" t="str">
        <f t="shared" si="7"/>
        <v>0</v>
      </c>
      <c r="AP18" s="122"/>
      <c r="AQ18" s="123"/>
      <c r="AR18" s="123"/>
      <c r="AS18" s="124"/>
      <c r="AT18" s="205" t="str">
        <f t="shared" si="8"/>
        <v>0</v>
      </c>
      <c r="AU18" s="122"/>
      <c r="AV18" s="123"/>
      <c r="AW18" s="123"/>
      <c r="AX18" s="124"/>
      <c r="AY18" s="205" t="str">
        <f t="shared" si="9"/>
        <v>0</v>
      </c>
    </row>
    <row r="19">
      <c r="B19" s="206" t="s">
        <v>90</v>
      </c>
      <c r="C19" s="207" t="str">
        <f t="shared" ref="C19:E19" si="10">SUM(C12:C17)</f>
        <v>230</v>
      </c>
      <c r="D19" s="208" t="str">
        <f t="shared" si="10"/>
        <v>319</v>
      </c>
      <c r="E19" s="208" t="str">
        <f t="shared" si="10"/>
        <v>307</v>
      </c>
      <c r="F19" s="209"/>
      <c r="G19" s="134"/>
      <c r="H19" s="134"/>
      <c r="I19" s="134"/>
      <c r="J19" s="135"/>
      <c r="K19" s="208" t="str">
        <f>SUM(K12:K17)</f>
        <v>323</v>
      </c>
      <c r="L19" s="209"/>
      <c r="M19" s="134"/>
      <c r="N19" s="134"/>
      <c r="O19" s="135"/>
      <c r="P19" s="208" t="str">
        <f>SUM(P12:P17)</f>
        <v>330</v>
      </c>
      <c r="Q19" s="209"/>
      <c r="R19" s="134"/>
      <c r="S19" s="134"/>
      <c r="T19" s="135"/>
      <c r="U19" s="208" t="str">
        <f>SUM(U12:U17)</f>
        <v>216</v>
      </c>
      <c r="V19" s="209"/>
      <c r="W19" s="134"/>
      <c r="X19" s="134"/>
      <c r="Y19" s="135"/>
      <c r="Z19" s="210" t="str">
        <f>SUM(Z12:Z17)</f>
        <v>358</v>
      </c>
      <c r="AA19" s="209"/>
      <c r="AB19" s="134"/>
      <c r="AC19" s="134"/>
      <c r="AD19" s="135"/>
      <c r="AE19" s="210" t="str">
        <f>SUM(AE12:AE17)</f>
        <v>343</v>
      </c>
      <c r="AF19" s="209"/>
      <c r="AG19" s="134"/>
      <c r="AH19" s="134"/>
      <c r="AI19" s="135"/>
      <c r="AJ19" s="210" t="str">
        <f>SUM(AJ12:AJ17)</f>
        <v>0</v>
      </c>
      <c r="AK19" s="209"/>
      <c r="AL19" s="134"/>
      <c r="AM19" s="134"/>
      <c r="AN19" s="135"/>
      <c r="AO19" s="210" t="str">
        <f>SUM(AO12:AO17)</f>
        <v>0</v>
      </c>
      <c r="AP19" s="209"/>
      <c r="AQ19" s="134"/>
      <c r="AR19" s="134"/>
      <c r="AS19" s="135"/>
      <c r="AT19" s="210" t="str">
        <f>SUM(AT12:AT17)</f>
        <v>0</v>
      </c>
      <c r="AU19" s="209"/>
      <c r="AV19" s="134"/>
      <c r="AW19" s="134"/>
      <c r="AX19" s="135"/>
      <c r="AY19" s="210" t="str">
        <f>SUM(AY12:AY17)</f>
        <v>0</v>
      </c>
    </row>
    <row r="20">
      <c r="B20" s="138"/>
    </row>
    <row r="21" ht="15.75" customHeight="1">
      <c r="C21" s="139" t="s">
        <v>91</v>
      </c>
    </row>
    <row r="22" ht="15.75" customHeight="1">
      <c r="C22" s="14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4"/>
    </row>
    <row r="23" ht="15.75" customHeight="1">
      <c r="C23" s="14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4"/>
    </row>
    <row r="24" ht="15.75" customHeight="1">
      <c r="C24" s="138"/>
    </row>
    <row r="25" ht="15.75" customHeight="1"/>
    <row r="26" ht="15.75" customHeight="1"/>
    <row r="27" ht="15.75" customHeight="1"/>
    <row r="28" ht="15.75" customHeight="1"/>
    <row r="29" ht="15.75" customHeight="1">
      <c r="B29" s="138"/>
    </row>
    <row r="30" ht="15.75" customHeight="1"/>
    <row r="31" ht="15.75" customHeight="1"/>
    <row r="32" ht="15.75" customHeight="1"/>
    <row r="33" ht="15.75" customHeight="1"/>
    <row r="34" ht="15.75" customHeight="1"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</row>
    <row r="35" ht="15.75" customHeight="1"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</row>
    <row r="36" ht="15.75" customHeight="1"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</row>
    <row r="37" ht="15.75" customHeight="1"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</row>
    <row r="38" ht="15.75" customHeight="1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</row>
    <row r="39" ht="15.75" customHeight="1"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</row>
    <row r="40" ht="15.75" customHeight="1"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</row>
    <row r="41" ht="15.75" customHeight="1"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</row>
    <row r="42" ht="15.75" customHeight="1"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</row>
    <row r="43" ht="15.75" customHeight="1"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</row>
    <row r="44" ht="15.75" customHeight="1"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</row>
    <row r="45" ht="15.75" customHeight="1"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</row>
    <row r="46" ht="15.75" customHeight="1"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</row>
    <row r="47" ht="15.75" customHeight="1"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</row>
    <row r="48" ht="15.75" customHeight="1"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</row>
    <row r="49" ht="15.75" customHeight="1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</row>
    <row r="50" ht="15.75" customHeight="1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</row>
    <row r="51" ht="15.75" customHeight="1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</row>
    <row r="52" ht="15.75" customHeight="1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</row>
    <row r="53" ht="15.75" customHeight="1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</row>
    <row r="54" ht="15.75" customHeight="1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</row>
    <row r="55" ht="15.7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</row>
    <row r="56" ht="15.7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</row>
    <row r="57" ht="15.7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</row>
    <row r="58" ht="15.7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</row>
    <row r="59" ht="15.7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</row>
    <row r="60" ht="15.75" customHeight="1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</row>
    <row r="61" ht="15.75" customHeight="1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</row>
    <row r="62" ht="15.75" customHeight="1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</row>
    <row r="63" ht="15.75" customHeight="1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</row>
    <row r="64" ht="15.75" customHeight="1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</row>
    <row r="65" ht="15.75" customHeight="1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</row>
    <row r="66" ht="15.75" customHeight="1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</row>
    <row r="67" ht="15.75" customHeight="1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</row>
    <row r="68" ht="15.75" customHeight="1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</row>
    <row r="69" ht="15.75" customHeight="1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</row>
    <row r="70" ht="15.75" customHeight="1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</row>
    <row r="71" ht="15.75" customHeight="1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</row>
    <row r="72" ht="15.75" customHeight="1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30">
    <mergeCell ref="AA10:AE10"/>
    <mergeCell ref="AF10:AJ10"/>
    <mergeCell ref="C23:AY23"/>
    <mergeCell ref="AK10:AO10"/>
    <mergeCell ref="AP19:AS19"/>
    <mergeCell ref="B20:B28"/>
    <mergeCell ref="A29:A48"/>
    <mergeCell ref="B29:B37"/>
    <mergeCell ref="B38:B46"/>
    <mergeCell ref="A49:A68"/>
    <mergeCell ref="A8:A28"/>
    <mergeCell ref="C24:AY33"/>
    <mergeCell ref="AP10:AT10"/>
    <mergeCell ref="AU10:AY10"/>
    <mergeCell ref="B8:B10"/>
    <mergeCell ref="A1:AY7"/>
    <mergeCell ref="C8:AY9"/>
    <mergeCell ref="F10:K10"/>
    <mergeCell ref="L10:P10"/>
    <mergeCell ref="Q10:U10"/>
    <mergeCell ref="V10:Z10"/>
    <mergeCell ref="AF19:AI19"/>
    <mergeCell ref="AK19:AN19"/>
    <mergeCell ref="C22:AY22"/>
    <mergeCell ref="AU19:AX19"/>
    <mergeCell ref="F19:J19"/>
    <mergeCell ref="L19:O19"/>
    <mergeCell ref="Q19:T19"/>
    <mergeCell ref="V19:Y19"/>
    <mergeCell ref="AA19:AD19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29"/>
    <col customWidth="1" min="3" max="14" width="10.71"/>
    <col customWidth="1" min="15" max="15" width="16.43"/>
    <col customWidth="1" min="16" max="16" width="12.29"/>
    <col customWidth="1" min="17" max="18" width="10.71"/>
    <col customWidth="1" min="19" max="19" width="18.86"/>
    <col customWidth="1" min="20" max="20" width="10.71"/>
    <col customWidth="1" min="21" max="21" width="30.0"/>
    <col customWidth="1" min="22" max="23" width="21.29"/>
    <col customWidth="1" min="24" max="24" width="26.0"/>
    <col customWidth="1" min="25" max="25" width="28.43"/>
    <col customWidth="1" min="26" max="26" width="21.57"/>
    <col customWidth="1" min="27" max="27" width="22.0"/>
    <col customWidth="1" min="28" max="28" width="10.71"/>
  </cols>
  <sheetData>
    <row r="12">
      <c r="T12" s="211"/>
      <c r="U12" s="211"/>
      <c r="V12" s="211"/>
      <c r="W12" s="211"/>
      <c r="X12" s="211"/>
    </row>
    <row r="13">
      <c r="T13" s="211"/>
      <c r="U13" s="212" t="s">
        <v>117</v>
      </c>
      <c r="V13" s="213" t="s">
        <v>118</v>
      </c>
      <c r="W13" s="213" t="s">
        <v>119</v>
      </c>
      <c r="X13" s="214"/>
      <c r="Y13" s="215" t="s">
        <v>117</v>
      </c>
      <c r="Z13" s="216" t="s">
        <v>118</v>
      </c>
      <c r="AA13" s="216" t="s">
        <v>119</v>
      </c>
      <c r="AB13" s="217"/>
    </row>
    <row r="14">
      <c r="T14" s="211"/>
      <c r="U14" s="218" t="s">
        <v>120</v>
      </c>
      <c r="V14" s="219"/>
      <c r="W14" s="219"/>
      <c r="X14" s="214"/>
      <c r="Y14" s="220" t="s">
        <v>120</v>
      </c>
      <c r="Z14" s="221"/>
      <c r="AA14" s="221"/>
      <c r="AB14" s="217"/>
    </row>
    <row r="15">
      <c r="T15" s="211"/>
      <c r="U15" s="218" t="s">
        <v>121</v>
      </c>
      <c r="V15" s="219"/>
      <c r="W15" s="219"/>
      <c r="X15" s="214"/>
      <c r="Y15" s="220" t="s">
        <v>121</v>
      </c>
      <c r="Z15" s="221"/>
      <c r="AA15" s="221"/>
      <c r="AB15" s="217"/>
    </row>
    <row r="16">
      <c r="T16" s="211"/>
      <c r="U16" s="218" t="s">
        <v>122</v>
      </c>
      <c r="V16" s="219"/>
      <c r="W16" s="219"/>
      <c r="X16" s="214"/>
      <c r="Y16" s="220" t="s">
        <v>123</v>
      </c>
      <c r="Z16" s="221"/>
      <c r="AA16" s="221"/>
      <c r="AB16" s="217"/>
    </row>
    <row r="17">
      <c r="T17" s="211"/>
      <c r="U17" s="218" t="s">
        <v>124</v>
      </c>
      <c r="V17" s="219"/>
      <c r="W17" s="219"/>
      <c r="X17" s="214"/>
      <c r="Y17" s="220" t="s">
        <v>124</v>
      </c>
      <c r="Z17" s="221"/>
      <c r="AA17" s="221"/>
      <c r="AB17" s="217"/>
    </row>
    <row r="18">
      <c r="T18" s="211"/>
      <c r="U18" s="218" t="s">
        <v>125</v>
      </c>
      <c r="V18" s="219"/>
      <c r="W18" s="219"/>
      <c r="X18" s="214"/>
      <c r="Y18" s="220"/>
      <c r="Z18" s="221"/>
      <c r="AA18" s="221"/>
      <c r="AB18" s="217"/>
    </row>
    <row r="19">
      <c r="O19" s="222" t="s">
        <v>126</v>
      </c>
      <c r="P19" s="222" t="s">
        <v>127</v>
      </c>
      <c r="T19" s="211"/>
      <c r="U19" s="218" t="s">
        <v>128</v>
      </c>
      <c r="V19" s="219"/>
      <c r="W19" s="219"/>
      <c r="X19" s="214"/>
      <c r="Y19" s="220" t="s">
        <v>128</v>
      </c>
      <c r="Z19" s="221"/>
      <c r="AA19" s="221"/>
      <c r="AB19" s="217"/>
    </row>
    <row r="20">
      <c r="O20" s="223"/>
      <c r="P20" s="223"/>
      <c r="T20" s="224"/>
      <c r="U20" s="225" t="s">
        <v>129</v>
      </c>
      <c r="V20" s="224"/>
      <c r="W20" s="224"/>
      <c r="X20" s="224"/>
      <c r="Y20" s="220"/>
      <c r="Z20" s="221"/>
      <c r="AA20" s="221"/>
      <c r="AB20" s="217"/>
    </row>
    <row r="21" ht="15.75" customHeight="1">
      <c r="O21" s="223" t="s">
        <v>130</v>
      </c>
      <c r="P21" s="223">
        <v>985.0</v>
      </c>
      <c r="T21" s="226"/>
      <c r="U21" s="227"/>
      <c r="V21" s="227"/>
      <c r="W21" s="227"/>
      <c r="X21" s="228"/>
      <c r="Y21" s="220" t="s">
        <v>125</v>
      </c>
      <c r="Z21" s="221"/>
      <c r="AA21" s="221"/>
      <c r="AB21" s="217"/>
    </row>
    <row r="22" ht="15.75" customHeight="1">
      <c r="O22" s="223" t="s">
        <v>131</v>
      </c>
      <c r="P22" s="223">
        <v>730.0</v>
      </c>
      <c r="R22" s="229" t="str">
        <f>SUM(N22:Q22)</f>
        <v>730</v>
      </c>
      <c r="T22" s="211"/>
      <c r="U22" s="230" t="s">
        <v>132</v>
      </c>
      <c r="V22" s="231"/>
      <c r="W22" s="231"/>
      <c r="X22" s="211"/>
      <c r="Y22" s="232"/>
      <c r="Z22" s="232"/>
      <c r="AA22" s="232"/>
      <c r="AB22" s="232"/>
    </row>
    <row r="23" ht="15.75" customHeight="1">
      <c r="O23" s="223" t="s">
        <v>133</v>
      </c>
      <c r="P23" s="223">
        <v>679.0</v>
      </c>
      <c r="X23" s="217"/>
      <c r="Y23" s="233" t="s">
        <v>132</v>
      </c>
      <c r="Z23" s="234"/>
      <c r="AA23" s="234"/>
      <c r="AB23" s="217"/>
    </row>
    <row r="24" ht="15.75" customHeight="1">
      <c r="V24" s="235"/>
      <c r="W24" s="235"/>
      <c r="X24" s="235"/>
    </row>
    <row r="25" ht="38.25" customHeight="1">
      <c r="O25" s="138"/>
      <c r="P25" s="138"/>
      <c r="Q25" s="138"/>
      <c r="Z25" s="236"/>
    </row>
    <row r="26" ht="34.5" customHeight="1">
      <c r="N26" s="138"/>
      <c r="O26" s="237" t="s">
        <v>134</v>
      </c>
      <c r="P26" s="237" t="s">
        <v>135</v>
      </c>
      <c r="Q26" s="238" t="s">
        <v>136</v>
      </c>
      <c r="R26" s="239" t="s">
        <v>133</v>
      </c>
      <c r="S26" s="240" t="s">
        <v>137</v>
      </c>
      <c r="W26" s="241"/>
      <c r="X26" s="242"/>
      <c r="Y26" s="242"/>
      <c r="Z26" s="217"/>
    </row>
    <row r="27" ht="15.75" customHeight="1">
      <c r="N27" s="138"/>
      <c r="O27" s="237" t="s">
        <v>9</v>
      </c>
      <c r="P27" s="243">
        <v>7.0</v>
      </c>
      <c r="Q27" s="243" t="s">
        <v>73</v>
      </c>
      <c r="R27" s="244">
        <v>35.0</v>
      </c>
      <c r="S27" s="245">
        <v>15.0</v>
      </c>
      <c r="W27" s="246"/>
      <c r="X27" s="247"/>
      <c r="Y27" s="247"/>
      <c r="Z27" s="217"/>
    </row>
    <row r="28" ht="15.75" customHeight="1">
      <c r="N28" s="138"/>
      <c r="O28" s="237" t="s">
        <v>7</v>
      </c>
      <c r="P28" s="243" t="s">
        <v>73</v>
      </c>
      <c r="Q28" s="243">
        <v>23.0</v>
      </c>
      <c r="R28" s="244">
        <v>35.0</v>
      </c>
      <c r="W28" s="246"/>
      <c r="X28" s="247"/>
      <c r="Y28" s="247"/>
      <c r="Z28" s="217"/>
    </row>
    <row r="29" ht="15.75" customHeight="1">
      <c r="N29" s="248"/>
      <c r="S29" s="249"/>
      <c r="W29" s="246"/>
      <c r="X29" s="247"/>
      <c r="Y29" s="247"/>
      <c r="Z29" s="217"/>
    </row>
    <row r="30" ht="15.75" customHeight="1">
      <c r="W30" s="246"/>
      <c r="X30" s="247"/>
      <c r="Y30" s="247"/>
      <c r="Z30" s="217"/>
    </row>
    <row r="31" ht="15.75" customHeight="1">
      <c r="W31" s="246"/>
      <c r="X31" s="247" t="s">
        <v>117</v>
      </c>
      <c r="Y31" s="247" t="s">
        <v>118</v>
      </c>
      <c r="Z31" s="217" t="s">
        <v>119</v>
      </c>
    </row>
    <row r="32" ht="15.75" customHeight="1">
      <c r="V32" s="6" t="s">
        <v>120</v>
      </c>
    </row>
    <row r="33" ht="15.75" customHeight="1">
      <c r="W33" s="250"/>
      <c r="X33" s="251" t="s">
        <v>121</v>
      </c>
      <c r="Y33" s="251"/>
    </row>
    <row r="34" ht="15.75" customHeight="1">
      <c r="X34" s="252" t="s">
        <v>122</v>
      </c>
      <c r="Y34" s="253"/>
      <c r="Z34" s="253"/>
    </row>
    <row r="35" ht="15.75" customHeight="1">
      <c r="X35" s="252" t="s">
        <v>124</v>
      </c>
      <c r="Y35" s="253"/>
      <c r="Z35" s="253"/>
    </row>
    <row r="36" ht="15.75" customHeight="1">
      <c r="X36" s="252" t="s">
        <v>128</v>
      </c>
      <c r="Y36" s="253"/>
      <c r="Z36" s="253"/>
    </row>
    <row r="37" ht="15.75" customHeight="1">
      <c r="X37" s="252" t="s">
        <v>125</v>
      </c>
      <c r="Y37" s="253"/>
      <c r="Z37" s="253"/>
    </row>
    <row r="38" ht="15.75" customHeight="1">
      <c r="X38" s="254"/>
    </row>
    <row r="39" ht="15.75" customHeight="1">
      <c r="X39" s="255" t="s">
        <v>132</v>
      </c>
      <c r="Y39" s="256"/>
      <c r="Z39" s="256"/>
    </row>
    <row r="40" ht="15.75" customHeight="1"/>
    <row r="41" ht="15.75" customHeight="1">
      <c r="U41" s="250" t="s">
        <v>132</v>
      </c>
      <c r="V41" s="251"/>
      <c r="W41" s="25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B52" s="237" t="s">
        <v>134</v>
      </c>
      <c r="C52" s="257" t="s">
        <v>6</v>
      </c>
      <c r="D52" s="258" t="s">
        <v>138</v>
      </c>
      <c r="E52" s="258" t="s">
        <v>9</v>
      </c>
      <c r="F52" s="258" t="s">
        <v>139</v>
      </c>
      <c r="G52" s="238" t="s">
        <v>136</v>
      </c>
    </row>
    <row r="53" ht="15.75" customHeight="1">
      <c r="B53" s="257" t="s">
        <v>140</v>
      </c>
      <c r="C53" s="243">
        <v>59.0</v>
      </c>
      <c r="D53" s="243">
        <v>43.0</v>
      </c>
      <c r="E53" s="243">
        <v>210.0</v>
      </c>
      <c r="F53" s="243">
        <v>5.0</v>
      </c>
      <c r="G53" s="243" t="s">
        <v>73</v>
      </c>
    </row>
    <row r="54" ht="15.75" customHeight="1">
      <c r="B54" s="237"/>
      <c r="C54" s="243"/>
      <c r="D54" s="243"/>
      <c r="E54" s="243"/>
      <c r="F54" s="243"/>
      <c r="G54" s="243"/>
    </row>
    <row r="55" ht="15.75" customHeight="1">
      <c r="B55" s="237" t="s">
        <v>7</v>
      </c>
      <c r="C55" s="243" t="s">
        <v>73</v>
      </c>
      <c r="D55" s="243"/>
      <c r="E55" s="243"/>
      <c r="F55" s="243"/>
      <c r="G55" s="243">
        <v>23.0</v>
      </c>
    </row>
    <row r="56" ht="15.75" customHeight="1"/>
    <row r="57" ht="15.75" customHeight="1"/>
    <row r="58" ht="15.75" customHeight="1"/>
    <row r="59" ht="15.75" customHeight="1">
      <c r="D59" s="259"/>
      <c r="E59" s="259"/>
      <c r="F59" s="259"/>
      <c r="G59" s="237" t="s">
        <v>134</v>
      </c>
      <c r="H59" s="237" t="s">
        <v>135</v>
      </c>
      <c r="I59" s="238" t="s">
        <v>136</v>
      </c>
      <c r="J59" s="239" t="s">
        <v>133</v>
      </c>
    </row>
    <row r="60" ht="15.75" customHeight="1">
      <c r="D60" s="259"/>
      <c r="E60" s="259"/>
      <c r="F60" s="259"/>
      <c r="G60" s="237" t="s">
        <v>9</v>
      </c>
      <c r="H60" s="243">
        <v>7.0</v>
      </c>
      <c r="I60" s="243" t="s">
        <v>73</v>
      </c>
      <c r="J60" s="244">
        <v>35.0</v>
      </c>
    </row>
    <row r="61" ht="15.75" customHeight="1">
      <c r="D61" s="259"/>
      <c r="E61" s="259"/>
      <c r="F61" s="259"/>
      <c r="G61" s="237" t="s">
        <v>7</v>
      </c>
      <c r="H61" s="243" t="s">
        <v>73</v>
      </c>
      <c r="I61" s="243">
        <v>23.0</v>
      </c>
      <c r="J61" s="244">
        <v>35.0</v>
      </c>
    </row>
    <row r="62" ht="15.75" customHeight="1"/>
    <row r="63" ht="15.75" customHeight="1"/>
    <row r="64" ht="15.75" customHeight="1">
      <c r="B64" s="237" t="s">
        <v>134</v>
      </c>
      <c r="C64" s="257" t="s">
        <v>6</v>
      </c>
      <c r="D64" s="258" t="s">
        <v>138</v>
      </c>
      <c r="E64" s="258" t="s">
        <v>9</v>
      </c>
      <c r="F64" s="258" t="s">
        <v>139</v>
      </c>
    </row>
    <row r="65" ht="15.75" customHeight="1">
      <c r="B65" s="257" t="s">
        <v>140</v>
      </c>
      <c r="C65" s="243">
        <v>59.0</v>
      </c>
      <c r="D65" s="243">
        <v>43.0</v>
      </c>
      <c r="E65" s="243">
        <v>210.0</v>
      </c>
      <c r="F65" s="243">
        <v>5.0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</sheetData>
  <mergeCells count="3">
    <mergeCell ref="T21:X21"/>
    <mergeCell ref="V32:Z32"/>
    <mergeCell ref="X38:Z3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3">
      <c r="F3" s="260" t="s">
        <v>141</v>
      </c>
      <c r="G3" s="3"/>
      <c r="H3" s="4"/>
    </row>
    <row r="5">
      <c r="D5" s="261" t="s">
        <v>24</v>
      </c>
      <c r="E5" s="4"/>
      <c r="F5" s="261" t="s">
        <v>142</v>
      </c>
      <c r="G5" s="4"/>
      <c r="H5" s="262" t="s">
        <v>143</v>
      </c>
      <c r="I5" s="4"/>
    </row>
    <row r="7">
      <c r="D7" s="263" t="s">
        <v>144</v>
      </c>
      <c r="E7" s="4"/>
      <c r="F7" s="264">
        <v>44442.0</v>
      </c>
      <c r="G7" s="4"/>
      <c r="H7" s="263">
        <v>40.0</v>
      </c>
      <c r="I7" s="4"/>
    </row>
    <row r="8">
      <c r="D8" s="263" t="s">
        <v>144</v>
      </c>
      <c r="E8" s="4"/>
      <c r="F8" s="263" t="s">
        <v>145</v>
      </c>
      <c r="G8" s="4"/>
      <c r="H8" s="263">
        <v>70.0</v>
      </c>
      <c r="I8" s="4"/>
    </row>
    <row r="9">
      <c r="D9" s="263" t="s">
        <v>144</v>
      </c>
      <c r="E9" s="4"/>
      <c r="F9" s="264">
        <v>44464.0</v>
      </c>
      <c r="G9" s="4"/>
      <c r="H9" s="263">
        <v>70.0</v>
      </c>
      <c r="I9" s="4"/>
    </row>
    <row r="10">
      <c r="D10" s="263" t="s">
        <v>144</v>
      </c>
      <c r="E10" s="4"/>
      <c r="F10" s="264">
        <v>44470.0</v>
      </c>
      <c r="G10" s="4"/>
      <c r="H10" s="263">
        <v>90.0</v>
      </c>
      <c r="I10" s="4"/>
    </row>
    <row r="11">
      <c r="D11" s="263"/>
      <c r="E11" s="4"/>
      <c r="F11" s="264">
        <v>44477.0</v>
      </c>
      <c r="G11" s="4"/>
      <c r="H11" s="263">
        <v>70.0</v>
      </c>
      <c r="I11" s="4"/>
    </row>
    <row r="12">
      <c r="D12" s="263"/>
      <c r="E12" s="4"/>
      <c r="F12" s="265">
        <v>44484.0</v>
      </c>
      <c r="G12" s="4"/>
      <c r="H12" s="263">
        <v>60.0</v>
      </c>
      <c r="I12" s="4"/>
    </row>
    <row r="13">
      <c r="D13" s="263"/>
      <c r="E13" s="4"/>
      <c r="F13" s="263" t="s">
        <v>146</v>
      </c>
      <c r="G13" s="4"/>
      <c r="H13" s="263">
        <v>40.0</v>
      </c>
      <c r="I13" s="4"/>
    </row>
    <row r="14">
      <c r="D14" s="263"/>
      <c r="E14" s="4"/>
      <c r="F14" s="265">
        <v>44494.0</v>
      </c>
      <c r="G14" s="4"/>
      <c r="H14" s="263">
        <v>90.0</v>
      </c>
      <c r="I14" s="4"/>
    </row>
    <row r="15">
      <c r="D15" s="263"/>
      <c r="E15" s="4"/>
      <c r="F15" s="265">
        <v>44498.0</v>
      </c>
      <c r="G15" s="4"/>
      <c r="H15" s="263">
        <v>70.0</v>
      </c>
      <c r="I15" s="4"/>
    </row>
    <row r="16">
      <c r="D16" s="263"/>
      <c r="E16" s="4"/>
      <c r="F16" s="265">
        <v>44513.0</v>
      </c>
      <c r="G16" s="4"/>
      <c r="H16" s="263">
        <v>70.0</v>
      </c>
      <c r="I16" s="4"/>
    </row>
    <row r="17">
      <c r="D17" s="263"/>
      <c r="E17" s="4"/>
      <c r="F17" s="263"/>
      <c r="G17" s="4"/>
      <c r="H17" s="263"/>
      <c r="I17" s="4"/>
    </row>
    <row r="18">
      <c r="D18" s="263"/>
      <c r="E18" s="4"/>
      <c r="F18" s="263"/>
      <c r="G18" s="4"/>
      <c r="H18" s="263"/>
      <c r="I18" s="4"/>
    </row>
    <row r="19">
      <c r="D19" s="263"/>
      <c r="E19" s="4"/>
      <c r="F19" s="263"/>
      <c r="G19" s="4"/>
      <c r="H19" s="263"/>
      <c r="I19" s="4"/>
    </row>
    <row r="20">
      <c r="D20" s="263"/>
      <c r="E20" s="4"/>
      <c r="F20" s="263"/>
      <c r="G20" s="4"/>
      <c r="H20" s="263"/>
      <c r="I20" s="4"/>
    </row>
    <row r="21" ht="15.75" customHeight="1">
      <c r="D21" s="263"/>
      <c r="E21" s="4"/>
      <c r="F21" s="263"/>
      <c r="G21" s="4"/>
      <c r="H21" s="263"/>
      <c r="I21" s="4"/>
    </row>
    <row r="22" ht="15.75" customHeight="1">
      <c r="D22" s="263"/>
      <c r="E22" s="4"/>
      <c r="F22" s="263"/>
      <c r="G22" s="4"/>
      <c r="H22" s="263"/>
      <c r="I22" s="4"/>
    </row>
    <row r="23" ht="15.75" customHeight="1">
      <c r="D23" s="263"/>
      <c r="E23" s="4"/>
      <c r="F23" s="263"/>
      <c r="G23" s="4"/>
      <c r="H23" s="263"/>
      <c r="I23" s="4"/>
    </row>
    <row r="24" ht="15.75" customHeight="1">
      <c r="D24" s="263"/>
      <c r="E24" s="4"/>
      <c r="F24" s="263"/>
      <c r="G24" s="4"/>
      <c r="H24" s="263"/>
      <c r="I24" s="4"/>
    </row>
    <row r="25" ht="15.75" customHeight="1">
      <c r="D25" s="263"/>
      <c r="E25" s="4"/>
      <c r="F25" s="263"/>
      <c r="G25" s="4"/>
      <c r="H25" s="263"/>
      <c r="I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61">
    <mergeCell ref="D8:E8"/>
    <mergeCell ref="F8:G8"/>
    <mergeCell ref="H8:I8"/>
    <mergeCell ref="F3:H3"/>
    <mergeCell ref="D5:E5"/>
    <mergeCell ref="F5:G5"/>
    <mergeCell ref="H5:I5"/>
    <mergeCell ref="D7:E7"/>
    <mergeCell ref="F7:G7"/>
    <mergeCell ref="H7:I7"/>
    <mergeCell ref="F11:G11"/>
    <mergeCell ref="H11:I11"/>
    <mergeCell ref="D12:E12"/>
    <mergeCell ref="F12:G12"/>
    <mergeCell ref="F13:G13"/>
    <mergeCell ref="D13:E13"/>
    <mergeCell ref="F10:G10"/>
    <mergeCell ref="H10:I10"/>
    <mergeCell ref="D9:E9"/>
    <mergeCell ref="F9:G9"/>
    <mergeCell ref="H9:I9"/>
    <mergeCell ref="H13:I13"/>
    <mergeCell ref="H12:I12"/>
    <mergeCell ref="D21:E21"/>
    <mergeCell ref="F21:G21"/>
    <mergeCell ref="D18:E18"/>
    <mergeCell ref="D19:E19"/>
    <mergeCell ref="H22:I22"/>
    <mergeCell ref="D20:E20"/>
    <mergeCell ref="F20:G20"/>
    <mergeCell ref="H20:I20"/>
    <mergeCell ref="H21:I21"/>
    <mergeCell ref="D24:E24"/>
    <mergeCell ref="F24:G24"/>
    <mergeCell ref="F25:G25"/>
    <mergeCell ref="D25:E25"/>
    <mergeCell ref="F22:G22"/>
    <mergeCell ref="D22:E22"/>
    <mergeCell ref="H25:I25"/>
    <mergeCell ref="D23:E23"/>
    <mergeCell ref="F23:G23"/>
    <mergeCell ref="H23:I23"/>
    <mergeCell ref="H24:I24"/>
    <mergeCell ref="D10:E10"/>
    <mergeCell ref="D11:E11"/>
    <mergeCell ref="D14:E14"/>
    <mergeCell ref="D15:E15"/>
    <mergeCell ref="D16:E16"/>
    <mergeCell ref="F16:G16"/>
    <mergeCell ref="H16:I16"/>
    <mergeCell ref="F14:G14"/>
    <mergeCell ref="H14:I14"/>
    <mergeCell ref="F15:G15"/>
    <mergeCell ref="H15:I15"/>
    <mergeCell ref="F19:G19"/>
    <mergeCell ref="H19:I19"/>
    <mergeCell ref="D17:E17"/>
    <mergeCell ref="F17:G17"/>
    <mergeCell ref="H17:I17"/>
    <mergeCell ref="F18:G18"/>
    <mergeCell ref="H18:I18"/>
  </mergeCells>
  <drawing r:id="rId2"/>
  <legacyDrawing r:id="rId3"/>
</worksheet>
</file>